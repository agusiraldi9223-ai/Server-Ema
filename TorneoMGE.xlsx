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C:\Users\agustin.iraldi\Desktop\"/>
    </mc:Choice>
  </mc:AlternateContent>
  <xr:revisionPtr revIDLastSave="0" documentId="8_{9C718723-A2DF-4D98-B85E-40984E820F03}" xr6:coauthVersionLast="47" xr6:coauthVersionMax="47" xr10:uidLastSave="{00000000-0000-0000-0000-000000000000}"/>
  <bookViews>
    <workbookView xWindow="0" yWindow="0" windowWidth="20490" windowHeight="7605" xr2:uid="{00000000-000D-0000-FFFF-FFFF00000000}"/>
  </bookViews>
  <sheets>
    <sheet name="Hoja1" sheetId="1" r:id="rId1"/>
    <sheet name="Tabla Final" sheetId="2" r:id="rId2"/>
    <sheet name="DATOS" sheetId="3" r:id="rId3"/>
    <sheet name="Comparativa" sheetId="4" r:id="rId4"/>
    <sheet name="Carga Tiempos" sheetId="6" r:id="rId5"/>
    <sheet name="Tiempos" sheetId="7" r:id="rId6"/>
    <sheet name="Diferencia en Carrera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1" i="7" l="1"/>
  <c r="L31" i="7"/>
  <c r="K31" i="7"/>
  <c r="J31" i="7"/>
  <c r="I31" i="7"/>
  <c r="H31" i="7"/>
  <c r="G31" i="7"/>
  <c r="M30" i="7"/>
  <c r="L30" i="7"/>
  <c r="K30" i="7"/>
  <c r="J30" i="7"/>
  <c r="I30" i="7"/>
  <c r="H30" i="7"/>
  <c r="G30" i="7"/>
  <c r="M29" i="7"/>
  <c r="L29" i="7"/>
  <c r="K29" i="7"/>
  <c r="J29" i="7"/>
  <c r="I29" i="7"/>
  <c r="H29" i="7"/>
  <c r="G29" i="7"/>
  <c r="M28" i="7"/>
  <c r="L28" i="7"/>
  <c r="K28" i="7"/>
  <c r="J28" i="7"/>
  <c r="I28" i="7"/>
  <c r="H28" i="7"/>
  <c r="G28" i="7"/>
  <c r="M27" i="7"/>
  <c r="L27" i="7"/>
  <c r="K27" i="7"/>
  <c r="J27" i="7"/>
  <c r="I27" i="7"/>
  <c r="H27" i="7"/>
  <c r="G27" i="7"/>
  <c r="M26" i="7"/>
  <c r="L26" i="7"/>
  <c r="K26" i="7"/>
  <c r="J26" i="7"/>
  <c r="I26" i="7"/>
  <c r="H26" i="7"/>
  <c r="G26" i="7"/>
  <c r="M25" i="7"/>
  <c r="L25" i="7"/>
  <c r="K25" i="7"/>
  <c r="J25" i="7"/>
  <c r="I25" i="7"/>
  <c r="H25" i="7"/>
  <c r="G25" i="7"/>
  <c r="M24" i="7"/>
  <c r="L24" i="7"/>
  <c r="K24" i="7"/>
  <c r="J24" i="7"/>
  <c r="I24" i="7"/>
  <c r="H24" i="7"/>
  <c r="G24" i="7"/>
  <c r="M23" i="7"/>
  <c r="L23" i="7"/>
  <c r="K23" i="7"/>
  <c r="J23" i="7"/>
  <c r="I23" i="7"/>
  <c r="H23" i="7"/>
  <c r="G23" i="7"/>
  <c r="M22" i="7"/>
  <c r="L22" i="7"/>
  <c r="K22" i="7"/>
  <c r="J22" i="7"/>
  <c r="I22" i="7"/>
  <c r="H22" i="7"/>
  <c r="G22" i="7"/>
  <c r="M21" i="7"/>
  <c r="L21" i="7"/>
  <c r="K21" i="7"/>
  <c r="J21" i="7"/>
  <c r="I21" i="7"/>
  <c r="H21" i="7"/>
  <c r="G21" i="7"/>
  <c r="M20" i="7"/>
  <c r="L20" i="7"/>
  <c r="K20" i="7"/>
  <c r="J20" i="7"/>
  <c r="I20" i="7"/>
  <c r="H20" i="7"/>
  <c r="G20" i="7"/>
  <c r="M19" i="7"/>
  <c r="L19" i="7"/>
  <c r="K19" i="7"/>
  <c r="J19" i="7"/>
  <c r="I19" i="7"/>
  <c r="H19" i="7"/>
  <c r="G19" i="7"/>
  <c r="M18" i="7"/>
  <c r="L18" i="7"/>
  <c r="K18" i="7"/>
  <c r="J18" i="7"/>
  <c r="I18" i="7"/>
  <c r="H18" i="7"/>
  <c r="G18" i="7"/>
  <c r="M17" i="7"/>
  <c r="L17" i="7"/>
  <c r="K17" i="7"/>
  <c r="J17" i="7"/>
  <c r="I17" i="7"/>
  <c r="H17" i="7"/>
  <c r="G17" i="7"/>
  <c r="M16" i="7"/>
  <c r="L16" i="7"/>
  <c r="K16" i="7"/>
  <c r="J16" i="7"/>
  <c r="I16" i="7"/>
  <c r="H16" i="7"/>
  <c r="G16" i="7"/>
  <c r="M15" i="7"/>
  <c r="L15" i="7"/>
  <c r="K15" i="7"/>
  <c r="J15" i="7"/>
  <c r="I15" i="7"/>
  <c r="H15" i="7"/>
  <c r="G15" i="7"/>
  <c r="M14" i="7"/>
  <c r="L14" i="7"/>
  <c r="K14" i="7"/>
  <c r="J14" i="7"/>
  <c r="I14" i="7"/>
  <c r="H14" i="7"/>
  <c r="G14" i="7"/>
  <c r="M11" i="7"/>
  <c r="L11" i="7"/>
  <c r="K11" i="7"/>
  <c r="J11" i="7"/>
  <c r="I11" i="7"/>
  <c r="H11" i="7"/>
  <c r="G11" i="7"/>
  <c r="M10" i="7"/>
  <c r="L10" i="7"/>
  <c r="K10" i="7"/>
  <c r="J10" i="7"/>
  <c r="I10" i="7"/>
  <c r="H10" i="7"/>
  <c r="G10" i="7"/>
  <c r="M4" i="7"/>
  <c r="L4" i="7"/>
  <c r="K4" i="7"/>
  <c r="J4" i="7"/>
  <c r="I4" i="7"/>
  <c r="H4" i="7"/>
  <c r="G4" i="7"/>
  <c r="M3" i="7"/>
  <c r="L3" i="7"/>
  <c r="K3" i="7"/>
  <c r="J3" i="7"/>
  <c r="I3" i="7"/>
  <c r="H3" i="7"/>
  <c r="G3" i="7"/>
  <c r="M2" i="7"/>
  <c r="L2" i="7"/>
  <c r="K2" i="7"/>
  <c r="J2" i="7"/>
  <c r="I2" i="7"/>
  <c r="H2" i="7"/>
  <c r="G2" i="7"/>
  <c r="B10" i="2"/>
  <c r="B11" i="2"/>
  <c r="B12" i="2"/>
  <c r="O11" i="1"/>
  <c r="Q11" i="1"/>
  <c r="S11" i="1"/>
  <c r="U11" i="1"/>
  <c r="W11" i="1"/>
  <c r="Y11" i="1"/>
  <c r="AA11" i="1"/>
  <c r="AC11" i="1"/>
  <c r="O12" i="1"/>
  <c r="Q12" i="1"/>
  <c r="S12" i="1"/>
  <c r="U12" i="1"/>
  <c r="W12" i="1"/>
  <c r="Y12" i="1"/>
  <c r="AA12" i="1"/>
  <c r="AC12" i="1"/>
  <c r="AD3" i="1"/>
  <c r="AC8" i="1" s="1"/>
  <c r="AC10" i="1" s="1"/>
  <c r="AB3" i="1"/>
  <c r="AA8" i="1" s="1"/>
  <c r="AA10" i="1" s="1"/>
  <c r="Z3" i="1"/>
  <c r="Y8" i="1" s="1"/>
  <c r="Y10" i="1" s="1"/>
  <c r="X3" i="1"/>
  <c r="W8" i="1" s="1"/>
  <c r="W10" i="1" s="1"/>
  <c r="V3" i="1"/>
  <c r="U8" i="1" s="1"/>
  <c r="U10" i="1" s="1"/>
  <c r="T3" i="1"/>
  <c r="S8" i="1" s="1"/>
  <c r="S10" i="1" s="1"/>
  <c r="R3" i="1"/>
  <c r="Q8" i="1"/>
  <c r="Q10" i="1" s="1"/>
  <c r="P3" i="1"/>
  <c r="O8" i="1" s="1"/>
  <c r="O10" i="1" s="1"/>
  <c r="D31" i="8"/>
  <c r="F31" i="8"/>
  <c r="D29" i="8"/>
  <c r="F29" i="8"/>
  <c r="H27" i="8"/>
  <c r="F27" i="8"/>
  <c r="D27" i="8"/>
  <c r="B27" i="8"/>
  <c r="B29" i="8" s="1"/>
  <c r="I15" i="6" a="1"/>
  <c r="I15" i="6"/>
  <c r="H15" i="6" a="1"/>
  <c r="H15" i="6"/>
  <c r="J15" i="6"/>
  <c r="R18" i="6"/>
  <c r="P14" i="6"/>
  <c r="P13" i="6"/>
  <c r="C29" i="7"/>
  <c r="D29" i="7"/>
  <c r="E29" i="7"/>
  <c r="F29" i="7"/>
  <c r="E19" i="3"/>
  <c r="F19" i="3"/>
  <c r="D19" i="3"/>
  <c r="C19" i="3"/>
  <c r="X57" i="8"/>
  <c r="X56" i="8"/>
  <c r="W42" i="8"/>
  <c r="D26" i="7"/>
  <c r="P20" i="8"/>
  <c r="L20" i="8"/>
  <c r="R20" i="8"/>
  <c r="N20" i="8"/>
  <c r="D26" i="4"/>
  <c r="L22" i="8"/>
  <c r="K16" i="6" a="1"/>
  <c r="K16" i="6"/>
  <c r="K15" i="6" a="1"/>
  <c r="K15" i="6"/>
  <c r="H14" i="6" a="1"/>
  <c r="H14" i="6"/>
  <c r="I14" i="6" a="1"/>
  <c r="I14" i="6"/>
  <c r="B7" i="1"/>
  <c r="F18" i="3"/>
  <c r="F17" i="3"/>
  <c r="E18" i="3"/>
  <c r="E17" i="3"/>
  <c r="D18" i="3"/>
  <c r="D17" i="3"/>
  <c r="C18" i="3"/>
  <c r="C17" i="3"/>
  <c r="E16" i="3"/>
  <c r="E15" i="3"/>
  <c r="F16" i="3"/>
  <c r="F15" i="3"/>
  <c r="D16" i="3"/>
  <c r="D15" i="3"/>
  <c r="C16" i="3"/>
  <c r="C15" i="3"/>
  <c r="E26" i="7"/>
  <c r="F26" i="7"/>
  <c r="C26" i="7"/>
  <c r="D23" i="7"/>
  <c r="E23" i="7"/>
  <c r="F23" i="7"/>
  <c r="C23" i="7"/>
  <c r="D20" i="7"/>
  <c r="E20" i="7"/>
  <c r="F20" i="7"/>
  <c r="C20" i="7"/>
  <c r="E11" i="7"/>
  <c r="F11" i="7"/>
  <c r="D11" i="7"/>
  <c r="C11" i="7"/>
  <c r="F10" i="7"/>
  <c r="E10" i="7"/>
  <c r="D10" i="7"/>
  <c r="C10" i="7"/>
  <c r="F2" i="7"/>
  <c r="E2" i="7"/>
  <c r="D2" i="7"/>
  <c r="C2" i="7"/>
  <c r="F14" i="7"/>
  <c r="E14" i="7"/>
  <c r="D14" i="7"/>
  <c r="C14" i="7"/>
  <c r="D4" i="7"/>
  <c r="E4" i="7"/>
  <c r="F4" i="7"/>
  <c r="C4" i="7"/>
  <c r="D3" i="7"/>
  <c r="E3" i="7"/>
  <c r="F3" i="7"/>
  <c r="C3" i="7"/>
  <c r="D17" i="7"/>
  <c r="E17" i="7"/>
  <c r="F17" i="7"/>
  <c r="C17" i="7"/>
  <c r="I16" i="6" a="1"/>
  <c r="I16" i="6" s="1"/>
  <c r="H16" i="6" a="1"/>
  <c r="H16" i="6" s="1"/>
  <c r="J16" i="6"/>
  <c r="P22" i="8" l="1"/>
  <c r="R22" i="8"/>
  <c r="N22" i="8"/>
  <c r="Q12" i="7"/>
  <c r="S12" i="7"/>
  <c r="R12" i="7"/>
  <c r="W49" i="8" l="1"/>
  <c r="R11" i="7"/>
  <c r="K14" i="6" a="1"/>
  <c r="K14" i="6" s="1"/>
  <c r="R10" i="7" s="1"/>
  <c r="J14" i="6" a="1"/>
  <c r="J14" i="6" s="1"/>
  <c r="F31" i="7"/>
  <c r="E31" i="7"/>
  <c r="D31" i="7"/>
  <c r="C31" i="7"/>
  <c r="F30" i="7"/>
  <c r="E30" i="7"/>
  <c r="D30" i="7"/>
  <c r="C30" i="7"/>
  <c r="F28" i="7"/>
  <c r="E28" i="7"/>
  <c r="D28" i="7"/>
  <c r="C28" i="7"/>
  <c r="F27" i="7"/>
  <c r="E27" i="7"/>
  <c r="D27" i="7"/>
  <c r="C27" i="7"/>
  <c r="F25" i="7"/>
  <c r="E25" i="7"/>
  <c r="D25" i="7"/>
  <c r="C25" i="7"/>
  <c r="F24" i="7"/>
  <c r="E24" i="7"/>
  <c r="D24" i="7"/>
  <c r="C24" i="7"/>
  <c r="F22" i="7"/>
  <c r="E22" i="7"/>
  <c r="D22" i="7"/>
  <c r="C22" i="7"/>
  <c r="F21" i="7"/>
  <c r="E21" i="7"/>
  <c r="D21" i="7"/>
  <c r="C21" i="7"/>
  <c r="C19" i="7"/>
  <c r="D19" i="7"/>
  <c r="E19" i="7"/>
  <c r="F19" i="7"/>
  <c r="F18" i="7"/>
  <c r="E18" i="7"/>
  <c r="D18" i="7"/>
  <c r="C18" i="7"/>
  <c r="C16" i="7"/>
  <c r="D16" i="7"/>
  <c r="E16" i="7"/>
  <c r="F16" i="7"/>
  <c r="W45" i="8" l="1"/>
  <c r="S10" i="7"/>
  <c r="Q10" i="7"/>
  <c r="S11" i="7"/>
  <c r="Q11" i="7"/>
  <c r="F15" i="7" l="1"/>
  <c r="E15" i="7"/>
  <c r="D15" i="7"/>
  <c r="C15" i="7"/>
  <c r="F3" i="4" l="1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G2" i="4"/>
  <c r="F2" i="4"/>
  <c r="C3" i="4"/>
  <c r="D3" i="4"/>
  <c r="E3" i="4"/>
  <c r="C4" i="4"/>
  <c r="D4" i="4"/>
  <c r="E4" i="4"/>
  <c r="C5" i="4"/>
  <c r="D5" i="4"/>
  <c r="E5" i="4"/>
  <c r="C6" i="4"/>
  <c r="D6" i="4"/>
  <c r="E6" i="4"/>
  <c r="C7" i="4"/>
  <c r="D7" i="4"/>
  <c r="E7" i="4"/>
  <c r="C8" i="4"/>
  <c r="D8" i="4"/>
  <c r="E8" i="4"/>
  <c r="C9" i="4"/>
  <c r="D9" i="4"/>
  <c r="E9" i="4"/>
  <c r="C10" i="4"/>
  <c r="D10" i="4"/>
  <c r="E10" i="4"/>
  <c r="C11" i="4"/>
  <c r="D11" i="4"/>
  <c r="E11" i="4"/>
  <c r="C12" i="4"/>
  <c r="D12" i="4"/>
  <c r="E12" i="4"/>
  <c r="C13" i="4"/>
  <c r="D13" i="4"/>
  <c r="E13" i="4"/>
  <c r="C14" i="4"/>
  <c r="D14" i="4"/>
  <c r="E14" i="4"/>
  <c r="C15" i="4"/>
  <c r="D15" i="4"/>
  <c r="E15" i="4"/>
  <c r="C16" i="4"/>
  <c r="D16" i="4"/>
  <c r="E16" i="4"/>
  <c r="C17" i="4"/>
  <c r="D17" i="4"/>
  <c r="E17" i="4"/>
  <c r="C18" i="4"/>
  <c r="D18" i="4"/>
  <c r="E18" i="4"/>
  <c r="C19" i="4"/>
  <c r="D19" i="4"/>
  <c r="E19" i="4"/>
  <c r="C20" i="4"/>
  <c r="D20" i="4"/>
  <c r="E20" i="4"/>
  <c r="C21" i="4"/>
  <c r="D21" i="4"/>
  <c r="E21" i="4"/>
  <c r="C22" i="4"/>
  <c r="D22" i="4"/>
  <c r="E22" i="4"/>
  <c r="C23" i="4"/>
  <c r="D23" i="4"/>
  <c r="E23" i="4"/>
  <c r="C24" i="4"/>
  <c r="D24" i="4"/>
  <c r="E24" i="4"/>
  <c r="C25" i="4"/>
  <c r="D25" i="4"/>
  <c r="E25" i="4"/>
  <c r="C26" i="4"/>
  <c r="E26" i="4"/>
  <c r="C27" i="4"/>
  <c r="D27" i="4"/>
  <c r="E27" i="4"/>
  <c r="C28" i="4"/>
  <c r="D28" i="4"/>
  <c r="E28" i="4"/>
  <c r="C29" i="4"/>
  <c r="D29" i="4"/>
  <c r="E29" i="4"/>
  <c r="C30" i="4"/>
  <c r="D30" i="4"/>
  <c r="E30" i="4"/>
  <c r="C31" i="4"/>
  <c r="D31" i="4"/>
  <c r="E31" i="4"/>
  <c r="C32" i="4"/>
  <c r="D32" i="4"/>
  <c r="E32" i="4"/>
  <c r="C33" i="4"/>
  <c r="D33" i="4"/>
  <c r="E33" i="4"/>
  <c r="C34" i="4"/>
  <c r="D34" i="4"/>
  <c r="E34" i="4"/>
  <c r="C35" i="4"/>
  <c r="D35" i="4"/>
  <c r="E35" i="4"/>
  <c r="C36" i="4"/>
  <c r="D36" i="4"/>
  <c r="E36" i="4"/>
  <c r="C37" i="4"/>
  <c r="D37" i="4"/>
  <c r="E37" i="4"/>
  <c r="C38" i="4"/>
  <c r="D38" i="4"/>
  <c r="E38" i="4"/>
  <c r="C39" i="4"/>
  <c r="D39" i="4"/>
  <c r="E39" i="4"/>
  <c r="C40" i="4"/>
  <c r="D40" i="4"/>
  <c r="E40" i="4"/>
  <c r="C41" i="4"/>
  <c r="D41" i="4"/>
  <c r="E41" i="4"/>
  <c r="E2" i="4"/>
  <c r="D2" i="4"/>
  <c r="C2" i="4"/>
  <c r="E13" i="3" l="1"/>
  <c r="F13" i="3"/>
  <c r="D13" i="3"/>
  <c r="F14" i="3"/>
  <c r="E14" i="3"/>
  <c r="D14" i="3"/>
  <c r="C14" i="3"/>
  <c r="C13" i="3"/>
  <c r="F12" i="3"/>
  <c r="E12" i="3"/>
  <c r="D12" i="3"/>
  <c r="C12" i="3"/>
  <c r="F11" i="3"/>
  <c r="E11" i="3"/>
  <c r="D11" i="3"/>
  <c r="C11" i="3"/>
  <c r="F27" i="3" l="1"/>
  <c r="E27" i="3"/>
  <c r="E47" i="3" l="1"/>
  <c r="O4" i="2"/>
  <c r="F47" i="3"/>
  <c r="O5" i="2"/>
  <c r="D27" i="3"/>
  <c r="C27" i="3"/>
  <c r="C4" i="3"/>
  <c r="O3" i="2" l="1"/>
  <c r="C47" i="3"/>
  <c r="D47" i="3"/>
  <c r="O2" i="2"/>
  <c r="F3" i="3"/>
  <c r="F4" i="3"/>
  <c r="F5" i="3"/>
  <c r="F6" i="3"/>
  <c r="F7" i="3"/>
  <c r="F8" i="3"/>
  <c r="F9" i="3"/>
  <c r="F10" i="3"/>
  <c r="F20" i="3"/>
  <c r="F21" i="3"/>
  <c r="F22" i="3"/>
  <c r="E3" i="3"/>
  <c r="E4" i="3"/>
  <c r="E5" i="3"/>
  <c r="E6" i="3"/>
  <c r="E7" i="3"/>
  <c r="E8" i="3"/>
  <c r="E9" i="3"/>
  <c r="E10" i="3"/>
  <c r="E20" i="3"/>
  <c r="E21" i="3"/>
  <c r="E22" i="3"/>
  <c r="D22" i="3"/>
  <c r="D21" i="3"/>
  <c r="D20" i="3"/>
  <c r="D10" i="3"/>
  <c r="D9" i="3"/>
  <c r="D8" i="3"/>
  <c r="D7" i="3"/>
  <c r="D6" i="3"/>
  <c r="D5" i="3"/>
  <c r="D4" i="3"/>
  <c r="D3" i="3"/>
  <c r="C21" i="3"/>
  <c r="C22" i="3"/>
  <c r="C20" i="3"/>
  <c r="C10" i="3"/>
  <c r="C9" i="3"/>
  <c r="C8" i="3"/>
  <c r="C7" i="3"/>
  <c r="C6" i="3"/>
  <c r="C5" i="3"/>
  <c r="C3" i="3"/>
  <c r="E2" i="2" s="1"/>
  <c r="J3" i="1"/>
  <c r="S7" i="3"/>
  <c r="S6" i="3"/>
  <c r="C24" i="3" l="1"/>
  <c r="D24" i="3"/>
  <c r="E3" i="2"/>
  <c r="E4" i="2"/>
  <c r="E24" i="3"/>
  <c r="F24" i="3"/>
  <c r="E5" i="2"/>
  <c r="M11" i="1" l="1"/>
  <c r="K11" i="1"/>
  <c r="I11" i="1"/>
  <c r="G11" i="1"/>
  <c r="G12" i="1"/>
  <c r="B6" i="2" s="1"/>
  <c r="I12" i="1"/>
  <c r="B7" i="2" s="1"/>
  <c r="K12" i="1"/>
  <c r="B8" i="2" s="1"/>
  <c r="M12" i="1"/>
  <c r="B9" i="2" s="1"/>
  <c r="D5" i="1" l="1"/>
  <c r="D4" i="1"/>
  <c r="D3" i="1"/>
  <c r="D2" i="1"/>
  <c r="D7" i="1" l="1"/>
  <c r="D8" i="1"/>
  <c r="D9" i="1"/>
  <c r="N3" i="1"/>
  <c r="L3" i="1"/>
  <c r="H3" i="1"/>
  <c r="G8" i="1" l="1"/>
  <c r="K8" i="1"/>
  <c r="B4" i="2" s="1"/>
  <c r="M8" i="1"/>
  <c r="B5" i="2" s="1"/>
  <c r="I8" i="1"/>
  <c r="B2" i="2" l="1"/>
  <c r="B3" i="2"/>
  <c r="G10" i="1"/>
  <c r="J4" i="3" s="1"/>
  <c r="K4" i="3"/>
  <c r="M10" i="1"/>
  <c r="I10" i="1"/>
  <c r="K10" i="1"/>
  <c r="K6" i="3" l="1"/>
  <c r="J6" i="3"/>
  <c r="K7" i="3"/>
  <c r="J7" i="3"/>
  <c r="L4" i="3"/>
  <c r="K5" i="3"/>
  <c r="J5" i="3"/>
  <c r="D3" i="2"/>
  <c r="D2" i="2"/>
  <c r="D4" i="2"/>
  <c r="D5" i="2"/>
  <c r="I6" i="2" l="1"/>
  <c r="J6" i="2"/>
  <c r="K6" i="2"/>
  <c r="I7" i="2"/>
  <c r="J7" i="2"/>
  <c r="K7" i="2"/>
  <c r="I8" i="2"/>
  <c r="J8" i="2"/>
  <c r="K8" i="2"/>
  <c r="I9" i="2"/>
  <c r="J9" i="2"/>
  <c r="K9" i="2"/>
  <c r="I10" i="2"/>
  <c r="J10" i="2"/>
  <c r="K10" i="2"/>
  <c r="I11" i="2"/>
  <c r="J11" i="2"/>
  <c r="K11" i="2"/>
  <c r="I12" i="2"/>
  <c r="J12" i="2"/>
  <c r="K12" i="2"/>
  <c r="I13" i="2"/>
  <c r="J13" i="2"/>
  <c r="K13" i="2"/>
  <c r="I14" i="2"/>
  <c r="J14" i="2"/>
  <c r="K14" i="2"/>
  <c r="I15" i="2"/>
  <c r="J15" i="2"/>
  <c r="K15" i="2"/>
  <c r="J2" i="2"/>
  <c r="M4" i="3"/>
  <c r="L7" i="3"/>
  <c r="L6" i="3"/>
  <c r="J4" i="2"/>
  <c r="L5" i="3"/>
  <c r="N2" i="2"/>
  <c r="I3" i="2"/>
  <c r="M3" i="2" s="1"/>
  <c r="I5" i="2"/>
  <c r="M5" i="2" s="1"/>
  <c r="I2" i="2"/>
  <c r="M2" i="2" s="1"/>
  <c r="J3" i="2"/>
  <c r="J5" i="2"/>
  <c r="N5" i="2" s="1"/>
  <c r="I4" i="2"/>
  <c r="M4" i="2" s="1"/>
  <c r="N4" i="2"/>
  <c r="M6" i="3" l="1"/>
  <c r="M7" i="3"/>
  <c r="N4" i="3"/>
  <c r="M5" i="3"/>
  <c r="N3" i="2"/>
  <c r="N7" i="3" l="1"/>
  <c r="N6" i="3"/>
  <c r="N5" i="3"/>
  <c r="O4" i="3" l="1"/>
  <c r="O7" i="3" l="1"/>
  <c r="O6" i="3"/>
  <c r="P4" i="3"/>
  <c r="O5" i="3"/>
  <c r="P5" i="3" l="1"/>
  <c r="Q4" i="3"/>
  <c r="P6" i="3"/>
  <c r="P7" i="3"/>
  <c r="Q7" i="3" l="1"/>
  <c r="R7" i="3"/>
  <c r="Q6" i="3"/>
  <c r="R6" i="3"/>
  <c r="R4" i="3"/>
  <c r="S4" i="3"/>
  <c r="Q5" i="3"/>
  <c r="C6" i="2" l="1"/>
  <c r="C10" i="2"/>
  <c r="C8" i="2"/>
  <c r="C12" i="2"/>
  <c r="C9" i="2"/>
  <c r="C5" i="2"/>
  <c r="C4" i="2"/>
  <c r="K5" i="2" s="1"/>
  <c r="C2" i="2"/>
  <c r="S5" i="3"/>
  <c r="R5" i="3"/>
  <c r="C7" i="2" l="1"/>
  <c r="C11" i="2"/>
  <c r="K4" i="2"/>
  <c r="C3" i="2"/>
  <c r="K3" i="2" l="1"/>
  <c r="K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<sst xmlns="http://schemas.openxmlformats.org/spreadsheetml/2006/main" count="232" uniqueCount="71">
  <si>
    <t>POSICION C1</t>
  </si>
  <si>
    <t>POSICION C2</t>
  </si>
  <si>
    <t>TOAY</t>
  </si>
  <si>
    <t>FECHA 1</t>
  </si>
  <si>
    <t>Agus</t>
  </si>
  <si>
    <t>Pts</t>
  </si>
  <si>
    <t>Ema</t>
  </si>
  <si>
    <t>JuanF</t>
  </si>
  <si>
    <t>Adri</t>
  </si>
  <si>
    <t>C1</t>
  </si>
  <si>
    <t>C2</t>
  </si>
  <si>
    <t>Pole</t>
  </si>
  <si>
    <t>VR1</t>
  </si>
  <si>
    <t>VR2</t>
  </si>
  <si>
    <t>TOTAL FECHA</t>
  </si>
  <si>
    <t>TOTAL</t>
  </si>
  <si>
    <t>Lastre Fecha</t>
  </si>
  <si>
    <t>Lastre Acumulado</t>
  </si>
  <si>
    <t>FECHA 2</t>
  </si>
  <si>
    <t>FECHA 3</t>
  </si>
  <si>
    <t>PILOTO</t>
  </si>
  <si>
    <t>PTS</t>
  </si>
  <si>
    <t>KG</t>
  </si>
  <si>
    <t>Prom. Llegada</t>
  </si>
  <si>
    <t>Efectividad</t>
  </si>
  <si>
    <t>POLES</t>
  </si>
  <si>
    <t>*Sobre puntos posibles</t>
  </si>
  <si>
    <t>GRAFICO</t>
  </si>
  <si>
    <t>FECHA</t>
  </si>
  <si>
    <t>Laguna Seca</t>
  </si>
  <si>
    <t>CARRERA 1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</si>
  <si>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</si>
  <si>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</si>
  <si>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</si>
  <si>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</si>
  <si>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</si>
  <si>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</si>
  <si>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</si>
  <si>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</si>
  <si>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</si>
  <si>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</si>
  <si>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CARRERA 2</t>
  </si>
  <si>
    <t>AGUS</t>
  </si>
  <si>
    <t>PABLO</t>
  </si>
  <si>
    <t>JUANDI</t>
  </si>
  <si>
    <t>EZE</t>
  </si>
  <si>
    <t>Total victorias</t>
  </si>
  <si>
    <t>POLE</t>
  </si>
  <si>
    <t>VR</t>
  </si>
  <si>
    <t>POS C1</t>
  </si>
  <si>
    <t>POS C2</t>
  </si>
  <si>
    <t>Clasificacion</t>
  </si>
  <si>
    <t>VR Carrera 1</t>
  </si>
  <si>
    <t>VR Carrera 2</t>
  </si>
  <si>
    <t>Columna1</t>
  </si>
  <si>
    <t>Pablo</t>
  </si>
  <si>
    <t>Eze</t>
  </si>
  <si>
    <t>Carrera</t>
  </si>
  <si>
    <t>ROSARIO C1</t>
  </si>
  <si>
    <t>Agus C1</t>
  </si>
  <si>
    <t>Ema C1</t>
  </si>
  <si>
    <t>JuanF C1</t>
  </si>
  <si>
    <t>Adri C1</t>
  </si>
  <si>
    <t>PROMEDIO</t>
  </si>
  <si>
    <t>Mejor tiempo</t>
  </si>
  <si>
    <t>Adrian Saldias</t>
  </si>
  <si>
    <t>Jesuan Anit</t>
  </si>
  <si>
    <t>Federico Oris</t>
  </si>
  <si>
    <t>agus_iraldi92</t>
  </si>
  <si>
    <t>Gabriel Juarez</t>
  </si>
  <si>
    <t>Ale Charvey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</si>
</sst>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&quot;Kg&quot;"/>
    <numFmt numFmtId="165" formatCode="mm:ss.000"/>
    <numFmt numFmtId="166" formatCode="\ &quot;+ &quot;s.000"/>
    <numFmt numFmtId="167" formatCode="&quot;+&quot;s.000"/>
    <numFmt numFmtId="168" formatCode="&quot;+ &quot;s.0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20"/>
      <color theme="1"/>
      <name val="Calibri"/>
      <family val="2"/>
      <scheme val="minor"/>
    </font>
    <font>
      <sz val="9"/>
      <color rgb="FF333333"/>
      <name val="Helvetica Neue"/>
      <charset val="1"/>
    </font>
    <font>
      <b/>
      <sz val="11"/>
      <color theme="1"/>
      <name val="Google Sans"/>
      <charset val="1"/>
    </font>
    <font>
      <sz val="11"/>
      <color theme="1"/>
      <name val="Google Sans"/>
      <charset val="1"/>
    </font>
    <font>
      <sz val="28"/>
      <color theme="1"/>
      <name val="STXinwei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2"/>
      <color theme="1"/>
      <name val="Google Sans"/>
      <charset val="1"/>
    </font>
    <font>
      <u/>
      <sz val="11"/>
      <color theme="1"/>
      <name val="Calibri"/>
      <family val="2"/>
      <scheme val="minor"/>
    </font>
    <font>
      <sz val="11"/>
      <color rgb="FF1F1F1F"/>
      <name val="Google Sans Text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DCDFE5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DCDFE5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DCDFE5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0" fillId="0" borderId="0" xfId="0"/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/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/>
    <xf numFmtId="0" fontId="0" fillId="2" borderId="17" xfId="0" applyFill="1" applyBorder="1" applyAlignment="1">
      <alignment horizontal="center" vertical="center"/>
    </xf>
    <xf numFmtId="0" fontId="0" fillId="0" borderId="15" xfId="0" applyBorder="1"/>
    <xf numFmtId="0" fontId="0" fillId="0" borderId="22" xfId="0" applyBorder="1"/>
    <xf numFmtId="0" fontId="0" fillId="0" borderId="2" xfId="0" applyFill="1" applyBorder="1"/>
    <xf numFmtId="0" fontId="0" fillId="0" borderId="1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164" fontId="0" fillId="0" borderId="3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 applyAlignment="1">
      <alignment horizontal="center"/>
    </xf>
    <xf numFmtId="0" fontId="0" fillId="3" borderId="0" xfId="0" applyFill="1"/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/>
    </xf>
    <xf numFmtId="0" fontId="0" fillId="2" borderId="18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10" fontId="0" fillId="0" borderId="0" xfId="0" applyNumberFormat="1"/>
    <xf numFmtId="10" fontId="0" fillId="3" borderId="0" xfId="0" applyNumberFormat="1" applyFill="1" applyAlignment="1">
      <alignment horizontal="center" vertical="center"/>
    </xf>
    <xf numFmtId="10" fontId="0" fillId="3" borderId="16" xfId="0" applyNumberFormat="1" applyFill="1" applyBorder="1" applyAlignment="1">
      <alignment horizontal="center" vertical="center"/>
    </xf>
    <xf numFmtId="10" fontId="0" fillId="3" borderId="17" xfId="0" applyNumberFormat="1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164" fontId="0" fillId="3" borderId="3" xfId="0" applyNumberFormat="1" applyFill="1" applyBorder="1" applyAlignment="1">
      <alignment horizontal="center"/>
    </xf>
    <xf numFmtId="164" fontId="0" fillId="3" borderId="6" xfId="0" applyNumberFormat="1" applyFill="1" applyBorder="1" applyAlignment="1">
      <alignment horizontal="center"/>
    </xf>
    <xf numFmtId="2" fontId="0" fillId="3" borderId="16" xfId="0" applyNumberFormat="1" applyFill="1" applyBorder="1"/>
    <xf numFmtId="2" fontId="0" fillId="3" borderId="17" xfId="0" applyNumberFormat="1" applyFill="1" applyBorder="1"/>
    <xf numFmtId="2" fontId="0" fillId="3" borderId="22" xfId="0" applyNumberFormat="1" applyFill="1" applyBorder="1"/>
    <xf numFmtId="10" fontId="0" fillId="3" borderId="22" xfId="0" applyNumberForma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/>
    </xf>
    <xf numFmtId="0" fontId="0" fillId="2" borderId="15" xfId="0" applyNumberForma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65" fontId="0" fillId="0" borderId="0" xfId="0" applyNumberFormat="1"/>
    <xf numFmtId="0" fontId="0" fillId="0" borderId="26" xfId="0" applyBorder="1"/>
    <xf numFmtId="165" fontId="0" fillId="0" borderId="26" xfId="0" applyNumberFormat="1" applyBorder="1"/>
    <xf numFmtId="165" fontId="0" fillId="0" borderId="27" xfId="0" applyNumberFormat="1" applyBorder="1"/>
    <xf numFmtId="0" fontId="0" fillId="0" borderId="0" xfId="0" applyBorder="1"/>
    <xf numFmtId="165" fontId="0" fillId="0" borderId="0" xfId="0" applyNumberFormat="1" applyBorder="1"/>
    <xf numFmtId="0" fontId="0" fillId="0" borderId="29" xfId="0" applyBorder="1"/>
    <xf numFmtId="165" fontId="0" fillId="0" borderId="29" xfId="0" applyNumberFormat="1" applyBorder="1"/>
    <xf numFmtId="0" fontId="0" fillId="0" borderId="32" xfId="0" applyBorder="1"/>
    <xf numFmtId="165" fontId="0" fillId="0" borderId="32" xfId="0" applyNumberFormat="1" applyBorder="1"/>
    <xf numFmtId="165" fontId="0" fillId="0" borderId="33" xfId="0" applyNumberFormat="1" applyBorder="1"/>
    <xf numFmtId="165" fontId="0" fillId="0" borderId="30" xfId="0" applyNumberFormat="1" applyBorder="1"/>
    <xf numFmtId="165" fontId="0" fillId="0" borderId="28" xfId="0" applyNumberFormat="1" applyBorder="1"/>
    <xf numFmtId="165" fontId="0" fillId="0" borderId="31" xfId="0" applyNumberFormat="1" applyBorder="1"/>
    <xf numFmtId="0" fontId="0" fillId="0" borderId="28" xfId="0" applyBorder="1"/>
    <xf numFmtId="0" fontId="3" fillId="0" borderId="0" xfId="0" applyFont="1"/>
    <xf numFmtId="21" fontId="0" fillId="0" borderId="0" xfId="0" applyNumberFormat="1"/>
    <xf numFmtId="47" fontId="0" fillId="0" borderId="0" xfId="0" applyNumberFormat="1"/>
    <xf numFmtId="0" fontId="0" fillId="0" borderId="30" xfId="0" applyBorder="1"/>
    <xf numFmtId="165" fontId="0" fillId="0" borderId="34" xfId="0" applyNumberFormat="1" applyBorder="1"/>
    <xf numFmtId="0" fontId="4" fillId="0" borderId="35" xfId="0" applyFont="1" applyBorder="1"/>
    <xf numFmtId="0" fontId="0" fillId="0" borderId="31" xfId="0" applyBorder="1"/>
    <xf numFmtId="165" fontId="0" fillId="0" borderId="36" xfId="0" applyNumberFormat="1" applyBorder="1"/>
    <xf numFmtId="165" fontId="5" fillId="0" borderId="37" xfId="0" applyNumberFormat="1" applyFont="1" applyBorder="1"/>
    <xf numFmtId="165" fontId="5" fillId="0" borderId="36" xfId="0" applyNumberFormat="1" applyFont="1" applyBorder="1"/>
    <xf numFmtId="3" fontId="5" fillId="0" borderId="35" xfId="0" applyNumberFormat="1" applyFont="1" applyBorder="1"/>
    <xf numFmtId="47" fontId="5" fillId="0" borderId="37" xfId="0" applyNumberFormat="1" applyFont="1" applyBorder="1"/>
    <xf numFmtId="3" fontId="5" fillId="0" borderId="31" xfId="0" applyNumberFormat="1" applyFont="1" applyBorder="1"/>
    <xf numFmtId="0" fontId="5" fillId="0" borderId="35" xfId="0" applyFont="1" applyBorder="1"/>
    <xf numFmtId="0" fontId="5" fillId="0" borderId="35" xfId="0" quotePrefix="1" applyFont="1" applyBorder="1"/>
    <xf numFmtId="0" fontId="5" fillId="0" borderId="30" xfId="0" quotePrefix="1" applyFont="1" applyBorder="1"/>
    <xf numFmtId="165" fontId="7" fillId="0" borderId="0" xfId="0" applyNumberFormat="1" applyFont="1"/>
    <xf numFmtId="0" fontId="7" fillId="0" borderId="0" xfId="0" applyFont="1"/>
    <xf numFmtId="166" fontId="7" fillId="0" borderId="0" xfId="0" applyNumberFormat="1" applyFont="1"/>
    <xf numFmtId="0" fontId="4" fillId="0" borderId="40" xfId="0" applyFont="1" applyBorder="1"/>
    <xf numFmtId="3" fontId="8" fillId="0" borderId="35" xfId="0" applyNumberFormat="1" applyFont="1" applyBorder="1"/>
    <xf numFmtId="165" fontId="8" fillId="0" borderId="37" xfId="0" applyNumberFormat="1" applyFont="1" applyBorder="1"/>
    <xf numFmtId="3" fontId="8" fillId="0" borderId="31" xfId="0" applyNumberFormat="1" applyFont="1" applyBorder="1"/>
    <xf numFmtId="165" fontId="8" fillId="0" borderId="36" xfId="0" applyNumberFormat="1" applyFont="1" applyBorder="1"/>
    <xf numFmtId="0" fontId="8" fillId="0" borderId="0" xfId="0" applyFont="1"/>
    <xf numFmtId="165" fontId="8" fillId="0" borderId="0" xfId="0" applyNumberFormat="1" applyFont="1"/>
    <xf numFmtId="0" fontId="9" fillId="0" borderId="0" xfId="0" applyFont="1" applyBorder="1"/>
    <xf numFmtId="167" fontId="0" fillId="0" borderId="0" xfId="0" applyNumberFormat="1"/>
    <xf numFmtId="0" fontId="10" fillId="0" borderId="0" xfId="0" applyFont="1"/>
    <xf numFmtId="168" fontId="0" fillId="0" borderId="0" xfId="0" applyNumberFormat="1"/>
    <xf numFmtId="166" fontId="0" fillId="0" borderId="0" xfId="0" applyNumberFormat="1"/>
    <xf numFmtId="0" fontId="10" fillId="0" borderId="12" xfId="0" applyFont="1" applyBorder="1" applyAlignment="1">
      <alignment horizontal="center" vertical="center"/>
    </xf>
    <xf numFmtId="0" fontId="11" fillId="0" borderId="0" xfId="0" applyFont="1" applyBorder="1" applyAlignment="1">
      <alignment readingOrder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21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4" fontId="10" fillId="0" borderId="11" xfId="0" applyNumberFormat="1" applyFont="1" applyBorder="1" applyAlignment="1">
      <alignment horizontal="center"/>
    </xf>
    <xf numFmtId="164" fontId="10" fillId="0" borderId="12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6" fillId="0" borderId="32" xfId="0" applyFont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7" fillId="0" borderId="38" xfId="0" applyFont="1" applyBorder="1" applyAlignment="1">
      <alignment horizontal="center"/>
    </xf>
    <xf numFmtId="0" fontId="7" fillId="0" borderId="39" xfId="0" applyFont="1" applyBorder="1" applyAlignment="1">
      <alignment horizont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65" fontId="1" fillId="0" borderId="0" xfId="0" applyNumberFormat="1" applyFont="1"/>
    <xf numFmtId="0" fontId="1" fillId="0" borderId="0" xfId="0" applyFont="1"/>
    <xf numFmtId="3" fontId="1" fillId="0" borderId="35" xfId="0" applyNumberFormat="1" applyFont="1" applyBorder="1"/>
    <xf numFmtId="165" fontId="1" fillId="0" borderId="37" xfId="0" applyNumberFormat="1" applyFont="1" applyBorder="1"/>
    <xf numFmtId="3" fontId="1" fillId="0" borderId="31" xfId="0" applyNumberFormat="1" applyFont="1" applyBorder="1"/>
    <xf numFmtId="165" fontId="1" fillId="0" borderId="36" xfId="0" applyNumberFormat="1" applyFont="1" applyBorder="1"/>
  </cellXfs>
  <cellStyles count="1">
    <cellStyle name="Normal" xfId="0" builtinId="0"/>
  </cellStyles>
  <dxfs count="5">
    <dxf>
      <fill>
        <patternFill>
          <bgColor rgb="FF20F025"/>
        </patternFill>
      </fill>
    </dxf>
    <dxf>
      <numFmt numFmtId="167" formatCode="&quot;+&quot;s.000"/>
    </dxf>
    <dxf>
      <numFmt numFmtId="166" formatCode="\ &quot;+ &quot;s.000"/>
    </dxf>
    <dxf>
      <fill>
        <patternFill>
          <bgColor rgb="FF20F025"/>
        </patternFill>
      </fill>
    </dxf>
    <dxf>
      <numFmt numFmtId="167" formatCode="&quot;+&quot;s.000"/>
    </dxf>
  </dxfs>
  <tableStyles count="0" defaultTableStyle="TableStyleMedium2" defaultPivotStyle="PivotStyleLight16"/>
  <colors>
    <mruColors>
      <color rgb="FFF7A347"/>
      <color rgb="FFE34231"/>
      <color rgb="FFF3BB4B"/>
      <color rgb="FF20F0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70C531-8139-4C3C-BAD9-160366BA1651}" name="Tabla1" displayName="Tabla1" ref="P9:S12" totalsRowShown="0">
  <autoFilter ref="P9:S12" xr:uid="{F370C531-8139-4C3C-BAD9-160366BA1651}"/>
  <tableColumns count="4">
    <tableColumn id="1" xr3:uid="{B381FFFB-2ACD-42BD-9061-01740E8BFCB2}" name="Columna1"/>
    <tableColumn id="2" xr3:uid="{F4B896E2-9CBB-4AF6-AA11-3ACEA044940E}" name="Agus">
      <calculatedColumnFormula>IF('Carga Tiempos'!H14=MIN('Carga Tiempos'!$H14,'Carga Tiempos'!$I14,'Carga Tiempos'!$K14),0,'Carga Tiempos'!H14-MIN('Carga Tiempos'!$H14,'Carga Tiempos'!$I14,'Carga Tiempos'!$K14))</calculatedColumnFormula>
    </tableColumn>
    <tableColumn id="3" xr3:uid="{F69C78B0-6684-4F08-8D21-A17F43502539}" name="Pablo">
      <calculatedColumnFormula>IF('Carga Tiempos'!I14=MIN('Carga Tiempos'!$H14,'Carga Tiempos'!$I14,'Carga Tiempos'!$K14),0,'Carga Tiempos'!I14-MIN('Carga Tiempos'!$H14,'Carga Tiempos'!$I14,'Carga Tiempos'!$K14))</calculatedColumnFormula>
    </tableColumn>
    <tableColumn id="5" xr3:uid="{D044B6D9-C0D8-4316-93F8-42BEFE60896D}" name="Eze">
      <calculatedColumnFormula>IF('Carga Tiempos'!K14=MIN('Carga Tiempos'!$H14,'Carga Tiempos'!$I14,'Carga Tiempos'!$K14),0,'Carga Tiempos'!K14-MIN('Carga Tiempos'!$H14,'Carga Tiempos'!$I14,'Carga Tiempos'!$K14))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6"/>
  <sheetViews>
    <sheetView tabSelected="1" topLeftCell="E1" zoomScaleNormal="100" workbookViewId="0">
      <selection activeCell="F29" sqref="F29"/>
    </sheetView>
  </sheetViews>
  <sheetFormatPr defaultColWidth="9.140625" defaultRowHeight="15"/>
  <cols>
    <col min="1" max="4" width="9.140625" customWidth="1"/>
    <col min="5" max="5" width="11.42578125" bestFit="1" customWidth="1"/>
    <col min="6" max="6" width="16.85546875" bestFit="1" customWidth="1"/>
    <col min="7" max="7" width="7.7109375" customWidth="1"/>
    <col min="8" max="8" width="6" bestFit="1" customWidth="1"/>
    <col min="9" max="9" width="7.7109375" customWidth="1"/>
    <col min="10" max="10" width="6" bestFit="1" customWidth="1"/>
    <col min="11" max="11" width="7.7109375" customWidth="1"/>
    <col min="12" max="12" width="6" bestFit="1" customWidth="1"/>
    <col min="13" max="13" width="7.7109375" customWidth="1"/>
    <col min="14" max="14" width="6" bestFit="1" customWidth="1"/>
  </cols>
  <sheetData>
    <row r="1" spans="1:30">
      <c r="A1" s="110" t="s">
        <v>0</v>
      </c>
      <c r="B1" s="110"/>
      <c r="C1" s="110" t="s">
        <v>1</v>
      </c>
      <c r="D1" s="110"/>
      <c r="E1" s="1"/>
      <c r="F1" s="107" t="s">
        <v>2</v>
      </c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</row>
    <row r="2" spans="1:30" ht="16.5" customHeight="1">
      <c r="A2" s="102">
        <v>1</v>
      </c>
      <c r="B2" s="102">
        <v>25</v>
      </c>
      <c r="C2" s="102">
        <v>1</v>
      </c>
      <c r="D2" s="1">
        <f>+SUM(B2*0.75)</f>
        <v>18.75</v>
      </c>
      <c r="E2" s="1"/>
      <c r="F2" s="13" t="s">
        <v>3</v>
      </c>
      <c r="G2" s="8" t="s">
        <v>4</v>
      </c>
      <c r="H2" s="4" t="s">
        <v>5</v>
      </c>
      <c r="I2" s="8" t="s">
        <v>6</v>
      </c>
      <c r="J2" s="4" t="s">
        <v>5</v>
      </c>
      <c r="K2" s="8" t="s">
        <v>7</v>
      </c>
      <c r="L2" s="4" t="s">
        <v>5</v>
      </c>
      <c r="M2" s="8" t="s">
        <v>8</v>
      </c>
      <c r="N2" s="4" t="s">
        <v>5</v>
      </c>
      <c r="O2" s="8" t="s">
        <v>8</v>
      </c>
      <c r="P2" s="4" t="s">
        <v>5</v>
      </c>
      <c r="Q2" s="8" t="s">
        <v>8</v>
      </c>
      <c r="R2" s="4" t="s">
        <v>5</v>
      </c>
      <c r="S2" s="8" t="s">
        <v>8</v>
      </c>
      <c r="T2" s="4" t="s">
        <v>5</v>
      </c>
      <c r="U2" s="8" t="s">
        <v>8</v>
      </c>
      <c r="V2" s="4" t="s">
        <v>5</v>
      </c>
      <c r="W2" s="8" t="s">
        <v>8</v>
      </c>
      <c r="X2" s="4" t="s">
        <v>5</v>
      </c>
      <c r="Y2" s="8" t="s">
        <v>8</v>
      </c>
      <c r="Z2" s="4" t="s">
        <v>5</v>
      </c>
      <c r="AA2" s="8" t="s">
        <v>8</v>
      </c>
      <c r="AB2" s="4" t="s">
        <v>5</v>
      </c>
      <c r="AC2" s="8" t="s">
        <v>8</v>
      </c>
      <c r="AD2" s="4" t="s">
        <v>5</v>
      </c>
    </row>
    <row r="3" spans="1:30" ht="16.5" customHeight="1">
      <c r="A3" s="102">
        <v>2</v>
      </c>
      <c r="B3" s="102">
        <v>18</v>
      </c>
      <c r="C3" s="102">
        <v>2</v>
      </c>
      <c r="D3" s="1">
        <f>+SUM(B3*0.75)</f>
        <v>13.5</v>
      </c>
      <c r="E3" s="1"/>
      <c r="F3" s="11" t="s">
        <v>9</v>
      </c>
      <c r="G3" s="3">
        <v>3</v>
      </c>
      <c r="H3" s="5">
        <f>+IF(G3=1,$B$2,IF($G3=2,$B$3,IF($G3=3,$B$4,IF($G3=4,$B$5,""))))</f>
        <v>15</v>
      </c>
      <c r="I3" s="3">
        <v>1</v>
      </c>
      <c r="J3" s="6">
        <f>+IF(I3=1,$B$2,IF($I3=2,$B$3,IF($I3=3,$B$4,IF($I3=4,$B$5,""))))</f>
        <v>25</v>
      </c>
      <c r="K3" s="3">
        <v>2</v>
      </c>
      <c r="L3" s="5">
        <f>+IF(K3=1,$B$2,IF($K3=2,$B$3,IF($K3=3,$B$4,IF($K3=4,$B$5,""))))</f>
        <v>18</v>
      </c>
      <c r="M3" s="3">
        <v>4</v>
      </c>
      <c r="N3" s="5">
        <f>+IF(M3=1,$B$2,IF($M3=2,$B$3,IF($M3=3,$B$4,IF($M3=4,$B$5,""))))</f>
        <v>12</v>
      </c>
      <c r="O3" s="3">
        <v>4</v>
      </c>
      <c r="P3" s="5">
        <f>+IF(O3=1,$B$2,IF($M3=2,$B$3,IF($M3=3,$B$4,IF($M3=4,$B$5,""))))</f>
        <v>12</v>
      </c>
      <c r="Q3" s="3">
        <v>4</v>
      </c>
      <c r="R3" s="5">
        <f>+IF(Q3=1,$B$2,IF($M3=2,$B$3,IF($M3=3,$B$4,IF($M3=4,$B$5,""))))</f>
        <v>12</v>
      </c>
      <c r="S3" s="3">
        <v>4</v>
      </c>
      <c r="T3" s="5">
        <f>+IF(S3=1,$B$2,IF($M3=2,$B$3,IF($M3=3,$B$4,IF($M3=4,$B$5,""))))</f>
        <v>12</v>
      </c>
      <c r="U3" s="3">
        <v>4</v>
      </c>
      <c r="V3" s="5">
        <f>+IF(U3=1,$B$2,IF($M3=2,$B$3,IF($M3=3,$B$4,IF($M3=4,$B$5,""))))</f>
        <v>12</v>
      </c>
      <c r="W3" s="3">
        <v>4</v>
      </c>
      <c r="X3" s="5">
        <f>+IF(W3=1,$B$2,IF($M3=2,$B$3,IF($M3=3,$B$4,IF($M3=4,$B$5,""))))</f>
        <v>12</v>
      </c>
      <c r="Y3" s="3">
        <v>4</v>
      </c>
      <c r="Z3" s="5">
        <f>+IF(Y3=1,$B$2,IF($M3=2,$B$3,IF($M3=3,$B$4,IF($M3=4,$B$5,""))))</f>
        <v>12</v>
      </c>
      <c r="AA3" s="3">
        <v>4</v>
      </c>
      <c r="AB3" s="5">
        <f>+IF(AA3=1,$B$2,IF($M3=2,$B$3,IF($M3=3,$B$4,IF($M3=4,$B$5,""))))</f>
        <v>12</v>
      </c>
      <c r="AC3" s="3">
        <v>4</v>
      </c>
      <c r="AD3" s="5">
        <f>+IF(AC3=1,$B$2,IF($M3=2,$B$3,IF($M3=3,$B$4,IF($M3=4,$B$5,""))))</f>
        <v>12</v>
      </c>
    </row>
    <row r="4" spans="1:30" ht="15.75" customHeight="1">
      <c r="A4" s="102">
        <v>3</v>
      </c>
      <c r="B4" s="102">
        <v>15</v>
      </c>
      <c r="C4" s="102">
        <v>3</v>
      </c>
      <c r="D4" s="1">
        <f>+SUM(B4*0.75)</f>
        <v>11.25</v>
      </c>
      <c r="E4" s="1"/>
      <c r="F4" s="11" t="s">
        <v>10</v>
      </c>
      <c r="G4" s="3"/>
      <c r="H4" s="5"/>
      <c r="I4" s="3"/>
      <c r="J4" s="5"/>
      <c r="K4" s="3"/>
      <c r="L4" s="5"/>
      <c r="M4" s="3"/>
      <c r="N4" s="5"/>
      <c r="O4" s="3"/>
      <c r="P4" s="5"/>
      <c r="Q4" s="3"/>
      <c r="R4" s="5"/>
      <c r="S4" s="3"/>
      <c r="T4" s="5"/>
      <c r="U4" s="3"/>
      <c r="V4" s="5"/>
      <c r="W4" s="3"/>
      <c r="X4" s="5"/>
      <c r="Y4" s="3"/>
      <c r="Z4" s="5"/>
      <c r="AA4" s="3"/>
      <c r="AB4" s="5"/>
      <c r="AC4" s="3"/>
      <c r="AD4" s="5"/>
    </row>
    <row r="5" spans="1:30">
      <c r="A5" s="102">
        <v>4</v>
      </c>
      <c r="B5" s="102">
        <v>12</v>
      </c>
      <c r="C5" s="102">
        <v>4</v>
      </c>
      <c r="D5" s="1">
        <f>+SUM(B5*0.75)</f>
        <v>9</v>
      </c>
      <c r="E5" s="1"/>
      <c r="F5" s="11" t="s">
        <v>11</v>
      </c>
      <c r="G5" s="3"/>
      <c r="H5" s="5"/>
      <c r="I5" s="3"/>
      <c r="J5" s="5"/>
      <c r="K5" s="3"/>
      <c r="L5" s="5"/>
      <c r="M5" s="3"/>
      <c r="N5" s="5">
        <v>1</v>
      </c>
      <c r="O5" s="3"/>
      <c r="P5" s="5">
        <v>1</v>
      </c>
      <c r="Q5" s="3"/>
      <c r="R5" s="5">
        <v>1</v>
      </c>
      <c r="S5" s="3"/>
      <c r="T5" s="5">
        <v>1</v>
      </c>
      <c r="U5" s="3"/>
      <c r="V5" s="5">
        <v>1</v>
      </c>
      <c r="W5" s="3"/>
      <c r="X5" s="5">
        <v>1</v>
      </c>
      <c r="Y5" s="3"/>
      <c r="Z5" s="5">
        <v>1</v>
      </c>
      <c r="AA5" s="3"/>
      <c r="AB5" s="5">
        <v>1</v>
      </c>
      <c r="AC5" s="3"/>
      <c r="AD5" s="5">
        <v>1</v>
      </c>
    </row>
    <row r="6" spans="1:30" ht="15.75" customHeight="1">
      <c r="A6" s="1"/>
      <c r="B6" s="1"/>
      <c r="C6" s="1"/>
      <c r="D6" s="1"/>
      <c r="E6" s="1"/>
      <c r="F6" s="11" t="s">
        <v>12</v>
      </c>
      <c r="G6" s="3"/>
      <c r="H6" s="5"/>
      <c r="I6" s="3"/>
      <c r="J6" s="5"/>
      <c r="K6" s="3"/>
      <c r="L6" s="5"/>
      <c r="M6" s="3"/>
      <c r="N6" s="5"/>
      <c r="O6" s="3"/>
      <c r="P6" s="5"/>
      <c r="Q6" s="3"/>
      <c r="R6" s="5"/>
      <c r="S6" s="3"/>
      <c r="T6" s="5"/>
      <c r="U6" s="3"/>
      <c r="V6" s="5"/>
      <c r="W6" s="3"/>
      <c r="X6" s="5"/>
      <c r="Y6" s="3"/>
      <c r="Z6" s="5"/>
      <c r="AA6" s="3"/>
      <c r="AB6" s="5"/>
      <c r="AC6" s="3"/>
      <c r="AD6" s="5"/>
    </row>
    <row r="7" spans="1:30" ht="15.75" customHeight="1">
      <c r="A7" s="1"/>
      <c r="B7" s="1">
        <f>+SUM(B2-B3)</f>
        <v>7</v>
      </c>
      <c r="C7" s="1"/>
      <c r="D7" s="1">
        <f>+SUM(D2-D3)</f>
        <v>5.25</v>
      </c>
      <c r="E7" s="1"/>
      <c r="F7" s="11" t="s">
        <v>13</v>
      </c>
      <c r="G7" s="3"/>
      <c r="H7" s="5"/>
      <c r="I7" s="3"/>
      <c r="J7" s="5"/>
      <c r="K7" s="3"/>
      <c r="L7" s="5"/>
      <c r="M7" s="3"/>
      <c r="N7" s="5"/>
      <c r="O7" s="3"/>
      <c r="P7" s="5"/>
      <c r="Q7" s="3"/>
      <c r="R7" s="5"/>
      <c r="S7" s="3"/>
      <c r="T7" s="5"/>
      <c r="U7" s="3"/>
      <c r="V7" s="5"/>
      <c r="W7" s="3"/>
      <c r="X7" s="5"/>
      <c r="Y7" s="3"/>
      <c r="Z7" s="5"/>
      <c r="AA7" s="3"/>
      <c r="AB7" s="5"/>
      <c r="AC7" s="3"/>
      <c r="AD7" s="5"/>
    </row>
    <row r="8" spans="1:30" ht="15.75" customHeight="1">
      <c r="A8" s="1"/>
      <c r="B8" s="1"/>
      <c r="C8" s="1"/>
      <c r="D8" s="1">
        <f>+SUM(D3-D4)</f>
        <v>2.25</v>
      </c>
      <c r="E8" s="1"/>
      <c r="F8" s="12" t="s">
        <v>14</v>
      </c>
      <c r="G8" s="108">
        <f>+SUM(H3:H7)</f>
        <v>15</v>
      </c>
      <c r="H8" s="109"/>
      <c r="I8" s="108">
        <f>+SUM(J3:J7)</f>
        <v>25</v>
      </c>
      <c r="J8" s="109"/>
      <c r="K8" s="108">
        <f>+SUM(L3:L7)</f>
        <v>18</v>
      </c>
      <c r="L8" s="109"/>
      <c r="M8" s="108">
        <f>+SUM(N3:N7)</f>
        <v>13</v>
      </c>
      <c r="N8" s="109"/>
      <c r="O8" s="108">
        <f>+SUM(P3:P7)</f>
        <v>13</v>
      </c>
      <c r="P8" s="109"/>
      <c r="Q8" s="108">
        <f>+SUM(R3:R7)</f>
        <v>13</v>
      </c>
      <c r="R8" s="109"/>
      <c r="S8" s="108">
        <f>+SUM(T3:T7)</f>
        <v>13</v>
      </c>
      <c r="T8" s="109"/>
      <c r="U8" s="108">
        <f>+SUM(V3:V7)</f>
        <v>13</v>
      </c>
      <c r="V8" s="109"/>
      <c r="W8" s="108">
        <f>+SUM(X3:X7)</f>
        <v>13</v>
      </c>
      <c r="X8" s="109"/>
      <c r="Y8" s="108">
        <f>+SUM(Z3:Z7)</f>
        <v>13</v>
      </c>
      <c r="Z8" s="109"/>
      <c r="AA8" s="108">
        <f>+SUM(AB3:AB7)</f>
        <v>13</v>
      </c>
      <c r="AB8" s="109"/>
      <c r="AC8" s="108">
        <f>+SUM(AD3:AD7)</f>
        <v>13</v>
      </c>
      <c r="AD8" s="109"/>
    </row>
    <row r="9" spans="1:30" ht="16.5" customHeight="1">
      <c r="A9" s="1"/>
      <c r="B9" s="1"/>
      <c r="C9" s="1"/>
      <c r="D9" s="1">
        <f>+SUM(D4-D5)</f>
        <v>2.25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15.75" customHeight="1">
      <c r="A10" s="1"/>
      <c r="B10" s="1"/>
      <c r="C10" s="1"/>
      <c r="D10" s="1"/>
      <c r="E10" s="1"/>
      <c r="F10" s="7" t="s">
        <v>15</v>
      </c>
      <c r="G10" s="106">
        <f>G8</f>
        <v>15</v>
      </c>
      <c r="H10" s="106"/>
      <c r="I10" s="106">
        <f>I8</f>
        <v>25</v>
      </c>
      <c r="J10" s="106"/>
      <c r="K10" s="106">
        <f>K8</f>
        <v>18</v>
      </c>
      <c r="L10" s="106"/>
      <c r="M10" s="106">
        <f>M8</f>
        <v>13</v>
      </c>
      <c r="N10" s="106"/>
      <c r="O10" s="106">
        <f t="shared" ref="O10:AD10" si="0">O8</f>
        <v>13</v>
      </c>
      <c r="P10" s="106"/>
      <c r="Q10" s="106">
        <f t="shared" ref="Q10:AD10" si="1">Q8</f>
        <v>13</v>
      </c>
      <c r="R10" s="106"/>
      <c r="S10" s="106">
        <f t="shared" ref="S10:AD10" si="2">S8</f>
        <v>13</v>
      </c>
      <c r="T10" s="106"/>
      <c r="U10" s="106">
        <f t="shared" ref="U10:AD10" si="3">U8</f>
        <v>13</v>
      </c>
      <c r="V10" s="106"/>
      <c r="W10" s="106">
        <f t="shared" ref="W10:AD10" si="4">W8</f>
        <v>13</v>
      </c>
      <c r="X10" s="106"/>
      <c r="Y10" s="106">
        <f t="shared" ref="Y10:AD10" si="5">Y8</f>
        <v>13</v>
      </c>
      <c r="Z10" s="106"/>
      <c r="AA10" s="106">
        <f t="shared" ref="AA10:AD10" si="6">AA8</f>
        <v>13</v>
      </c>
      <c r="AB10" s="106"/>
      <c r="AC10" s="106">
        <f t="shared" ref="AC10:AD10" si="7">AC8</f>
        <v>13</v>
      </c>
      <c r="AD10" s="106"/>
    </row>
    <row r="11" spans="1:30">
      <c r="A11" s="1"/>
      <c r="B11" s="1"/>
      <c r="C11" s="1"/>
      <c r="D11" s="1"/>
      <c r="E11" s="1"/>
      <c r="F11" s="7" t="s">
        <v>16</v>
      </c>
      <c r="G11" s="104">
        <f>+IF($G3=1,40,IF($G3=2,20,IF($G3=3,10,IF($G3=4,0,""))))</f>
        <v>10</v>
      </c>
      <c r="H11" s="105"/>
      <c r="I11" s="104">
        <f>+IF($I3=1,40,IF($I3=2,20,IF($I3=3,10,IF($I3=4,0,""))))</f>
        <v>40</v>
      </c>
      <c r="J11" s="105"/>
      <c r="K11" s="104">
        <f>+IF($K3=1,40,IF($K3=2,20,IF($K3=3,10,IF($K3=4,0,""))))</f>
        <v>20</v>
      </c>
      <c r="L11" s="105"/>
      <c r="M11" s="104">
        <f>+IF($M3=1,40,IF($M3=2,20,IF($M3=3,10,IF($M3=4,0,""))))</f>
        <v>0</v>
      </c>
      <c r="N11" s="105"/>
      <c r="O11" s="104">
        <f t="shared" ref="O11:AD11" si="8">+IF($M3=1,40,IF($M3=2,20,IF($M3=3,10,IF($M3=4,0,""))))</f>
        <v>0</v>
      </c>
      <c r="P11" s="105"/>
      <c r="Q11" s="104">
        <f t="shared" ref="Q11:AD11" si="9">+IF($M3=1,40,IF($M3=2,20,IF($M3=3,10,IF($M3=4,0,""))))</f>
        <v>0</v>
      </c>
      <c r="R11" s="105"/>
      <c r="S11" s="104">
        <f t="shared" ref="S11:AD11" si="10">+IF($M3=1,40,IF($M3=2,20,IF($M3=3,10,IF($M3=4,0,""))))</f>
        <v>0</v>
      </c>
      <c r="T11" s="105"/>
      <c r="U11" s="104">
        <f t="shared" ref="U11:AD11" si="11">+IF($M3=1,40,IF($M3=2,20,IF($M3=3,10,IF($M3=4,0,""))))</f>
        <v>0</v>
      </c>
      <c r="V11" s="105"/>
      <c r="W11" s="104">
        <f t="shared" ref="W11:AD11" si="12">+IF($M3=1,40,IF($M3=2,20,IF($M3=3,10,IF($M3=4,0,""))))</f>
        <v>0</v>
      </c>
      <c r="X11" s="105"/>
      <c r="Y11" s="104">
        <f t="shared" ref="Y11:AD11" si="13">+IF($M3=1,40,IF($M3=2,20,IF($M3=3,10,IF($M3=4,0,""))))</f>
        <v>0</v>
      </c>
      <c r="Z11" s="105"/>
      <c r="AA11" s="104">
        <f t="shared" ref="AA11:AD11" si="14">+IF($M3=1,40,IF($M3=2,20,IF($M3=3,10,IF($M3=4,0,""))))</f>
        <v>0</v>
      </c>
      <c r="AB11" s="105"/>
      <c r="AC11" s="104">
        <f t="shared" ref="AC11:AD11" si="15">+IF($M3=1,40,IF($M3=2,20,IF($M3=3,10,IF($M3=4,0,""))))</f>
        <v>0</v>
      </c>
      <c r="AD11" s="105"/>
    </row>
    <row r="12" spans="1:30" ht="15.75" customHeight="1">
      <c r="A12" s="1"/>
      <c r="B12" s="1"/>
      <c r="C12" s="1"/>
      <c r="D12" s="1"/>
      <c r="E12" s="1"/>
      <c r="F12" s="15" t="s">
        <v>17</v>
      </c>
      <c r="G12" s="104">
        <f>+IF($G3=1,40,IF($G3=2,20,IF($G3=3,10,IF($G3=4,0,""))))</f>
        <v>10</v>
      </c>
      <c r="H12" s="105"/>
      <c r="I12" s="104">
        <f>+IF($I3=1,40,IF($I3=2,20,IF($I3=3,10,IF($I3=4,0,""))))</f>
        <v>40</v>
      </c>
      <c r="J12" s="105"/>
      <c r="K12" s="104">
        <f>+IF($K3=1,40,IF($K3=2,20,IF($K3=3,10,IF($K3=4,0,""))))</f>
        <v>20</v>
      </c>
      <c r="L12" s="105"/>
      <c r="M12" s="104">
        <f>+IF($M3=1,40,IF($M3=2,20,IF($M3=3,10,IF($M3=4,0,""))))</f>
        <v>0</v>
      </c>
      <c r="N12" s="105"/>
      <c r="O12" s="104">
        <f t="shared" ref="O12:AD12" si="16">+IF($M3=1,40,IF($M3=2,20,IF($M3=3,10,IF($M3=4,0,""))))</f>
        <v>0</v>
      </c>
      <c r="P12" s="105"/>
      <c r="Q12" s="104">
        <f t="shared" ref="Q12:AD12" si="17">+IF($M3=1,40,IF($M3=2,20,IF($M3=3,10,IF($M3=4,0,""))))</f>
        <v>0</v>
      </c>
      <c r="R12" s="105"/>
      <c r="S12" s="104">
        <f t="shared" ref="S12:AD12" si="18">+IF($M3=1,40,IF($M3=2,20,IF($M3=3,10,IF($M3=4,0,""))))</f>
        <v>0</v>
      </c>
      <c r="T12" s="105"/>
      <c r="U12" s="104">
        <f t="shared" ref="U12:AD12" si="19">+IF($M3=1,40,IF($M3=2,20,IF($M3=3,10,IF($M3=4,0,""))))</f>
        <v>0</v>
      </c>
      <c r="V12" s="105"/>
      <c r="W12" s="104">
        <f t="shared" ref="W12:AD12" si="20">+IF($M3=1,40,IF($M3=2,20,IF($M3=3,10,IF($M3=4,0,""))))</f>
        <v>0</v>
      </c>
      <c r="X12" s="105"/>
      <c r="Y12" s="104">
        <f t="shared" ref="Y12:AD12" si="21">+IF($M3=1,40,IF($M3=2,20,IF($M3=3,10,IF($M3=4,0,""))))</f>
        <v>0</v>
      </c>
      <c r="Z12" s="105"/>
      <c r="AA12" s="104">
        <f t="shared" ref="AA12:AD12" si="22">+IF($M3=1,40,IF($M3=2,20,IF($M3=3,10,IF($M3=4,0,""))))</f>
        <v>0</v>
      </c>
      <c r="AB12" s="105"/>
      <c r="AC12" s="104">
        <f t="shared" ref="AC12:AD12" si="23">+IF($M3=1,40,IF($M3=2,20,IF($M3=3,10,IF($M3=4,0,""))))</f>
        <v>0</v>
      </c>
      <c r="AD12" s="105"/>
    </row>
    <row r="13" spans="1:30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15.75" customHeight="1">
      <c r="A14" s="1"/>
      <c r="B14" s="1"/>
      <c r="C14" s="1"/>
      <c r="D14" s="1"/>
      <c r="E14" s="1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</row>
    <row r="15" spans="1:30" ht="16.5" customHeight="1">
      <c r="A15" s="1"/>
      <c r="B15" s="1"/>
      <c r="C15" s="1"/>
      <c r="D15" s="1"/>
      <c r="E15" s="1"/>
      <c r="F15" s="13" t="s">
        <v>18</v>
      </c>
      <c r="G15" s="8"/>
      <c r="H15" s="4"/>
      <c r="I15" s="8"/>
      <c r="J15" s="4"/>
      <c r="K15" s="8"/>
      <c r="L15" s="4"/>
      <c r="M15" s="8"/>
      <c r="N15" s="4"/>
      <c r="O15" s="8"/>
      <c r="P15" s="4"/>
      <c r="Q15" s="8"/>
      <c r="R15" s="4"/>
      <c r="S15" s="8"/>
      <c r="T15" s="4"/>
      <c r="U15" s="8"/>
      <c r="V15" s="4"/>
      <c r="W15" s="8"/>
      <c r="X15" s="4"/>
      <c r="Y15" s="8"/>
      <c r="Z15" s="4"/>
      <c r="AA15" s="8"/>
      <c r="AB15" s="4"/>
      <c r="AC15" s="8"/>
      <c r="AD15" s="4"/>
    </row>
    <row r="16" spans="1:30" ht="15.75" customHeight="1">
      <c r="A16" s="1"/>
      <c r="B16" s="1"/>
      <c r="C16" s="1"/>
      <c r="D16" s="1"/>
      <c r="E16" s="1"/>
      <c r="F16" s="11" t="s">
        <v>9</v>
      </c>
      <c r="G16" s="3"/>
      <c r="H16" s="5"/>
      <c r="I16" s="3"/>
      <c r="J16" s="6"/>
      <c r="K16" s="3"/>
      <c r="L16" s="5"/>
      <c r="M16" s="3"/>
      <c r="N16" s="5"/>
      <c r="O16" s="3"/>
      <c r="P16" s="5"/>
      <c r="Q16" s="3"/>
      <c r="R16" s="5"/>
      <c r="S16" s="3"/>
      <c r="T16" s="5"/>
      <c r="U16" s="3"/>
      <c r="V16" s="5"/>
      <c r="W16" s="3"/>
      <c r="X16" s="5"/>
      <c r="Y16" s="3"/>
      <c r="Z16" s="5"/>
      <c r="AA16" s="3"/>
      <c r="AB16" s="5"/>
      <c r="AC16" s="3"/>
      <c r="AD16" s="5"/>
    </row>
    <row r="17" spans="1:30">
      <c r="A17" s="1"/>
      <c r="B17" s="1"/>
      <c r="C17" s="1"/>
      <c r="D17" s="1"/>
      <c r="E17" s="1"/>
      <c r="F17" s="11" t="s">
        <v>10</v>
      </c>
      <c r="G17" s="3"/>
      <c r="H17" s="5"/>
      <c r="I17" s="3"/>
      <c r="J17" s="5"/>
      <c r="K17" s="3"/>
      <c r="L17" s="5"/>
      <c r="M17" s="3"/>
      <c r="N17" s="5"/>
      <c r="O17" s="3"/>
      <c r="P17" s="5"/>
      <c r="Q17" s="3"/>
      <c r="R17" s="5"/>
      <c r="S17" s="3"/>
      <c r="T17" s="5"/>
      <c r="U17" s="3"/>
      <c r="V17" s="5"/>
      <c r="W17" s="3"/>
      <c r="X17" s="5"/>
      <c r="Y17" s="3"/>
      <c r="Z17" s="5"/>
      <c r="AA17" s="3"/>
      <c r="AB17" s="5"/>
      <c r="AC17" s="3"/>
      <c r="AD17" s="5"/>
    </row>
    <row r="18" spans="1:30">
      <c r="A18" s="1"/>
      <c r="B18" s="1"/>
      <c r="C18" s="1"/>
      <c r="D18" s="1"/>
      <c r="E18" s="1"/>
      <c r="F18" s="11" t="s">
        <v>11</v>
      </c>
      <c r="G18" s="3"/>
      <c r="H18" s="5"/>
      <c r="I18" s="3"/>
      <c r="J18" s="5"/>
      <c r="K18" s="3"/>
      <c r="L18" s="5"/>
      <c r="M18" s="3"/>
      <c r="N18" s="5"/>
      <c r="O18" s="3"/>
      <c r="P18" s="5"/>
      <c r="Q18" s="3"/>
      <c r="R18" s="5"/>
      <c r="S18" s="3"/>
      <c r="T18" s="5"/>
      <c r="U18" s="3"/>
      <c r="V18" s="5"/>
      <c r="W18" s="3"/>
      <c r="X18" s="5"/>
      <c r="Y18" s="3"/>
      <c r="Z18" s="5"/>
      <c r="AA18" s="3"/>
      <c r="AB18" s="5"/>
      <c r="AC18" s="3"/>
      <c r="AD18" s="5"/>
    </row>
    <row r="19" spans="1:30">
      <c r="A19" s="1"/>
      <c r="B19" s="1"/>
      <c r="C19" s="1"/>
      <c r="D19" s="1"/>
      <c r="E19" s="1"/>
      <c r="F19" s="11" t="s">
        <v>12</v>
      </c>
      <c r="G19" s="3"/>
      <c r="H19" s="5"/>
      <c r="I19" s="3"/>
      <c r="J19" s="5"/>
      <c r="K19" s="3"/>
      <c r="L19" s="5"/>
      <c r="M19" s="3"/>
      <c r="N19" s="5"/>
      <c r="O19" s="3"/>
      <c r="P19" s="5"/>
      <c r="Q19" s="3"/>
      <c r="R19" s="5"/>
      <c r="S19" s="3"/>
      <c r="T19" s="5"/>
      <c r="U19" s="3"/>
      <c r="V19" s="5"/>
      <c r="W19" s="3"/>
      <c r="X19" s="5"/>
      <c r="Y19" s="3"/>
      <c r="Z19" s="5"/>
      <c r="AA19" s="3"/>
      <c r="AB19" s="5"/>
      <c r="AC19" s="3"/>
      <c r="AD19" s="5"/>
    </row>
    <row r="20" spans="1:30">
      <c r="A20" s="1"/>
      <c r="B20" s="1"/>
      <c r="C20" s="1"/>
      <c r="D20" s="2"/>
      <c r="E20" s="1"/>
      <c r="F20" s="11" t="s">
        <v>13</v>
      </c>
      <c r="G20" s="3"/>
      <c r="H20" s="5"/>
      <c r="I20" s="3"/>
      <c r="J20" s="5"/>
      <c r="K20" s="3"/>
      <c r="L20" s="5"/>
      <c r="M20" s="3"/>
      <c r="N20" s="5"/>
      <c r="O20" s="3"/>
      <c r="P20" s="5"/>
      <c r="Q20" s="3"/>
      <c r="R20" s="5"/>
      <c r="S20" s="3"/>
      <c r="T20" s="5"/>
      <c r="U20" s="3"/>
      <c r="V20" s="5"/>
      <c r="W20" s="3"/>
      <c r="X20" s="5"/>
      <c r="Y20" s="3"/>
      <c r="Z20" s="5"/>
      <c r="AA20" s="3"/>
      <c r="AB20" s="5"/>
      <c r="AC20" s="3"/>
      <c r="AD20" s="5"/>
    </row>
    <row r="21" spans="1:30" ht="15.75" customHeight="1">
      <c r="A21" s="1"/>
      <c r="B21" s="1"/>
      <c r="C21" s="1"/>
      <c r="D21" s="1"/>
      <c r="E21" s="1"/>
      <c r="F21" s="12"/>
      <c r="G21" s="108"/>
      <c r="H21" s="109"/>
      <c r="I21" s="108"/>
      <c r="J21" s="109"/>
      <c r="K21" s="108"/>
      <c r="L21" s="109"/>
      <c r="M21" s="108"/>
      <c r="N21" s="109"/>
      <c r="O21" s="108"/>
      <c r="P21" s="109"/>
      <c r="Q21" s="108"/>
      <c r="R21" s="109"/>
      <c r="S21" s="108"/>
      <c r="T21" s="109"/>
      <c r="U21" s="108"/>
      <c r="V21" s="109"/>
      <c r="W21" s="108"/>
      <c r="X21" s="109"/>
      <c r="Y21" s="108"/>
      <c r="Z21" s="109"/>
      <c r="AA21" s="108"/>
      <c r="AB21" s="109"/>
      <c r="AC21" s="108"/>
      <c r="AD21" s="109"/>
    </row>
    <row r="22" spans="1:30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>
      <c r="A23" s="1"/>
      <c r="B23" s="1"/>
      <c r="C23" s="1"/>
      <c r="D23" s="1"/>
      <c r="E23" s="1"/>
      <c r="F23" s="7" t="s">
        <v>15</v>
      </c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</row>
    <row r="24" spans="1:30">
      <c r="A24" s="1"/>
      <c r="B24" s="1"/>
      <c r="C24" s="1"/>
      <c r="D24" s="1"/>
      <c r="E24" s="1"/>
      <c r="F24" s="7" t="s">
        <v>16</v>
      </c>
      <c r="G24" s="104"/>
      <c r="H24" s="105"/>
      <c r="I24" s="104"/>
      <c r="J24" s="105"/>
      <c r="K24" s="104"/>
      <c r="L24" s="105"/>
      <c r="M24" s="104"/>
      <c r="N24" s="105"/>
      <c r="O24" s="104"/>
      <c r="P24" s="105"/>
      <c r="Q24" s="104"/>
      <c r="R24" s="105"/>
      <c r="S24" s="104"/>
      <c r="T24" s="105"/>
      <c r="U24" s="104"/>
      <c r="V24" s="105"/>
      <c r="W24" s="104"/>
      <c r="X24" s="105"/>
      <c r="Y24" s="104"/>
      <c r="Z24" s="105"/>
      <c r="AA24" s="104"/>
      <c r="AB24" s="105"/>
      <c r="AC24" s="104"/>
      <c r="AD24" s="105"/>
    </row>
    <row r="25" spans="1:30">
      <c r="A25" s="1"/>
      <c r="B25" s="1"/>
      <c r="C25" s="1"/>
      <c r="D25" s="1"/>
      <c r="E25" s="1"/>
      <c r="F25" s="15" t="s">
        <v>17</v>
      </c>
      <c r="G25" s="104"/>
      <c r="H25" s="105"/>
      <c r="I25" s="104"/>
      <c r="J25" s="105"/>
      <c r="K25" s="104"/>
      <c r="L25" s="105"/>
      <c r="M25" s="104"/>
      <c r="N25" s="105"/>
      <c r="O25" s="104"/>
      <c r="P25" s="105"/>
      <c r="Q25" s="104"/>
      <c r="R25" s="105"/>
      <c r="S25" s="104"/>
      <c r="T25" s="105"/>
      <c r="U25" s="104"/>
      <c r="V25" s="105"/>
      <c r="W25" s="104"/>
      <c r="X25" s="105"/>
      <c r="Y25" s="104"/>
      <c r="Z25" s="105"/>
      <c r="AA25" s="104"/>
      <c r="AB25" s="105"/>
      <c r="AC25" s="104"/>
      <c r="AD25" s="105"/>
    </row>
    <row r="26" spans="1:30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15.75" customHeight="1">
      <c r="A27" s="1"/>
      <c r="B27" s="1"/>
      <c r="C27" s="1"/>
      <c r="D27" s="1"/>
      <c r="E27" s="1"/>
      <c r="F27" s="107"/>
      <c r="G27" s="107"/>
      <c r="H27" s="107"/>
      <c r="I27" s="107"/>
      <c r="J27" s="107"/>
      <c r="K27" s="107"/>
      <c r="L27" s="107"/>
      <c r="M27" s="107"/>
      <c r="N27" s="107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16.5" customHeight="1">
      <c r="A28" s="1"/>
      <c r="B28" s="1"/>
      <c r="C28" s="1"/>
      <c r="D28" s="1"/>
      <c r="E28" s="1"/>
      <c r="F28" s="13" t="s">
        <v>19</v>
      </c>
      <c r="G28" s="8"/>
      <c r="H28" s="4"/>
      <c r="I28" s="8"/>
      <c r="J28" s="4"/>
      <c r="K28" s="8"/>
      <c r="L28" s="4"/>
      <c r="M28" s="8"/>
      <c r="N28" s="4"/>
      <c r="O28" s="8"/>
      <c r="P28" s="4"/>
      <c r="Q28" s="8"/>
      <c r="R28" s="4"/>
      <c r="S28" s="8"/>
      <c r="T28" s="4"/>
      <c r="U28" s="8"/>
      <c r="V28" s="4"/>
      <c r="W28" s="8"/>
      <c r="X28" s="4"/>
      <c r="Y28" s="8"/>
      <c r="Z28" s="4"/>
      <c r="AA28" s="8"/>
      <c r="AB28" s="4"/>
      <c r="AC28" s="8"/>
      <c r="AD28" s="4"/>
    </row>
    <row r="29" spans="1:30" ht="15.75" customHeight="1">
      <c r="A29" s="1"/>
      <c r="B29" s="1"/>
      <c r="C29" s="1"/>
      <c r="D29" s="1"/>
      <c r="E29" s="1"/>
      <c r="F29" s="11" t="s">
        <v>9</v>
      </c>
      <c r="G29" s="3"/>
      <c r="H29" s="5"/>
      <c r="I29" s="3"/>
      <c r="J29" s="6"/>
      <c r="K29" s="3"/>
      <c r="L29" s="5"/>
      <c r="M29" s="3"/>
      <c r="N29" s="5"/>
      <c r="O29" s="3"/>
      <c r="P29" s="5"/>
      <c r="Q29" s="3"/>
      <c r="R29" s="5"/>
      <c r="S29" s="3"/>
      <c r="T29" s="5"/>
      <c r="U29" s="3"/>
      <c r="V29" s="5"/>
      <c r="W29" s="3"/>
      <c r="X29" s="5"/>
      <c r="Y29" s="3"/>
      <c r="Z29" s="5"/>
      <c r="AA29" s="3"/>
      <c r="AB29" s="5"/>
      <c r="AC29" s="3"/>
      <c r="AD29" s="5"/>
    </row>
    <row r="30" spans="1:30">
      <c r="A30" s="1"/>
      <c r="B30" s="1"/>
      <c r="C30" s="1"/>
      <c r="D30" s="1"/>
      <c r="E30" s="1"/>
      <c r="F30" s="11" t="s">
        <v>10</v>
      </c>
      <c r="G30" s="3"/>
      <c r="H30" s="5"/>
      <c r="I30" s="3"/>
      <c r="J30" s="5"/>
      <c r="K30" s="3"/>
      <c r="L30" s="5"/>
      <c r="M30" s="3"/>
      <c r="N30" s="5"/>
      <c r="O30" s="3"/>
      <c r="P30" s="5"/>
      <c r="Q30" s="3"/>
      <c r="R30" s="5"/>
      <c r="S30" s="3"/>
      <c r="T30" s="5"/>
      <c r="U30" s="3"/>
      <c r="V30" s="5"/>
      <c r="W30" s="3"/>
      <c r="X30" s="5"/>
      <c r="Y30" s="3"/>
      <c r="Z30" s="5"/>
      <c r="AA30" s="3"/>
      <c r="AB30" s="5"/>
      <c r="AC30" s="3"/>
      <c r="AD30" s="5"/>
    </row>
    <row r="31" spans="1:30">
      <c r="A31" s="1"/>
      <c r="B31" s="1"/>
      <c r="C31" s="1"/>
      <c r="D31" s="1"/>
      <c r="E31" s="1"/>
      <c r="F31" s="11" t="s">
        <v>11</v>
      </c>
      <c r="G31" s="3"/>
      <c r="H31" s="5"/>
      <c r="I31" s="3"/>
      <c r="J31" s="5"/>
      <c r="K31" s="3"/>
      <c r="L31" s="5"/>
      <c r="M31" s="3"/>
      <c r="N31" s="5"/>
      <c r="O31" s="3"/>
      <c r="P31" s="5"/>
      <c r="Q31" s="3"/>
      <c r="R31" s="5"/>
      <c r="S31" s="3"/>
      <c r="T31" s="5"/>
      <c r="U31" s="3"/>
      <c r="V31" s="5"/>
      <c r="W31" s="3"/>
      <c r="X31" s="5"/>
      <c r="Y31" s="3"/>
      <c r="Z31" s="5"/>
      <c r="AA31" s="3"/>
      <c r="AB31" s="5"/>
      <c r="AC31" s="3"/>
      <c r="AD31" s="5"/>
    </row>
    <row r="32" spans="1:30">
      <c r="A32" s="1"/>
      <c r="B32" s="1"/>
      <c r="C32" s="1"/>
      <c r="D32" s="1"/>
      <c r="E32" s="1"/>
      <c r="F32" s="11" t="s">
        <v>12</v>
      </c>
      <c r="G32" s="3"/>
      <c r="H32" s="5"/>
      <c r="I32" s="3"/>
      <c r="J32" s="5"/>
      <c r="K32" s="3"/>
      <c r="L32" s="5"/>
      <c r="M32" s="3"/>
      <c r="N32" s="5"/>
      <c r="O32" s="3"/>
      <c r="P32" s="5"/>
      <c r="Q32" s="3"/>
      <c r="R32" s="5"/>
      <c r="S32" s="3"/>
      <c r="T32" s="5"/>
      <c r="U32" s="3"/>
      <c r="V32" s="5"/>
      <c r="W32" s="3"/>
      <c r="X32" s="5"/>
      <c r="Y32" s="3"/>
      <c r="Z32" s="5"/>
      <c r="AA32" s="3"/>
      <c r="AB32" s="5"/>
      <c r="AC32" s="3"/>
      <c r="AD32" s="5"/>
    </row>
    <row r="33" spans="6:30">
      <c r="F33" s="11" t="s">
        <v>13</v>
      </c>
      <c r="G33" s="3"/>
      <c r="H33" s="5"/>
      <c r="I33" s="3"/>
      <c r="J33" s="5"/>
      <c r="K33" s="3"/>
      <c r="L33" s="5"/>
      <c r="M33" s="3"/>
      <c r="N33" s="5"/>
      <c r="O33" s="3"/>
      <c r="P33" s="5"/>
      <c r="Q33" s="3"/>
      <c r="R33" s="5"/>
      <c r="S33" s="3"/>
      <c r="T33" s="5"/>
      <c r="U33" s="3"/>
      <c r="V33" s="5"/>
      <c r="W33" s="3"/>
      <c r="X33" s="5"/>
      <c r="Y33" s="3"/>
      <c r="Z33" s="5"/>
      <c r="AA33" s="3"/>
      <c r="AB33" s="5"/>
      <c r="AC33" s="3"/>
      <c r="AD33" s="5"/>
    </row>
    <row r="34" spans="6:30" ht="15.75" customHeight="1">
      <c r="F34" s="12"/>
      <c r="G34" s="108"/>
      <c r="H34" s="109"/>
      <c r="I34" s="108"/>
      <c r="J34" s="109"/>
      <c r="K34" s="108"/>
      <c r="L34" s="109"/>
      <c r="M34" s="108"/>
      <c r="N34" s="109"/>
      <c r="O34" s="108"/>
      <c r="P34" s="109"/>
      <c r="Q34" s="108"/>
      <c r="R34" s="109"/>
      <c r="S34" s="108"/>
      <c r="T34" s="109"/>
      <c r="U34" s="108"/>
      <c r="V34" s="109"/>
      <c r="W34" s="108"/>
      <c r="X34" s="109"/>
      <c r="Y34" s="108"/>
      <c r="Z34" s="109"/>
      <c r="AA34" s="108"/>
      <c r="AB34" s="109"/>
      <c r="AC34" s="108"/>
      <c r="AD34" s="109"/>
    </row>
    <row r="35" spans="6:30" ht="15.75" customHeight="1"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6:30">
      <c r="F36" s="7" t="s">
        <v>15</v>
      </c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</row>
    <row r="37" spans="6:30">
      <c r="F37" s="7" t="s">
        <v>16</v>
      </c>
      <c r="G37" s="104"/>
      <c r="H37" s="105"/>
      <c r="I37" s="104"/>
      <c r="J37" s="105"/>
      <c r="K37" s="104"/>
      <c r="L37" s="105"/>
      <c r="M37" s="104"/>
      <c r="N37" s="105"/>
      <c r="O37" s="104"/>
      <c r="P37" s="105"/>
      <c r="Q37" s="104"/>
      <c r="R37" s="105"/>
      <c r="S37" s="104"/>
      <c r="T37" s="105"/>
      <c r="U37" s="104"/>
      <c r="V37" s="105"/>
      <c r="W37" s="104"/>
      <c r="X37" s="105"/>
      <c r="Y37" s="104"/>
      <c r="Z37" s="105"/>
      <c r="AA37" s="104"/>
      <c r="AB37" s="105"/>
      <c r="AC37" s="104"/>
      <c r="AD37" s="105"/>
    </row>
    <row r="38" spans="6:30">
      <c r="F38" s="15" t="s">
        <v>17</v>
      </c>
      <c r="G38" s="104"/>
      <c r="H38" s="105"/>
      <c r="I38" s="104"/>
      <c r="J38" s="105"/>
      <c r="K38" s="104"/>
      <c r="L38" s="105"/>
      <c r="M38" s="104"/>
      <c r="N38" s="105"/>
      <c r="O38" s="104"/>
      <c r="P38" s="105"/>
      <c r="Q38" s="104"/>
      <c r="R38" s="105"/>
      <c r="S38" s="104"/>
      <c r="T38" s="105"/>
      <c r="U38" s="104"/>
      <c r="V38" s="105"/>
      <c r="W38" s="104"/>
      <c r="X38" s="105"/>
      <c r="Y38" s="104"/>
      <c r="Z38" s="105"/>
      <c r="AA38" s="104"/>
      <c r="AB38" s="105"/>
      <c r="AC38" s="104"/>
      <c r="AD38" s="105"/>
    </row>
    <row r="39" spans="6:30"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6:30" ht="15.75" customHeight="1">
      <c r="F40" s="107"/>
      <c r="G40" s="107"/>
      <c r="H40" s="107"/>
      <c r="I40" s="107"/>
      <c r="J40" s="107"/>
      <c r="K40" s="107"/>
      <c r="L40" s="107"/>
      <c r="M40" s="107"/>
      <c r="N40" s="107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6:30" ht="16.5" customHeight="1">
      <c r="F41" s="13"/>
      <c r="G41" s="8"/>
      <c r="H41" s="4"/>
      <c r="I41" s="8"/>
      <c r="J41" s="4"/>
      <c r="K41" s="8"/>
      <c r="L41" s="4"/>
      <c r="M41" s="8"/>
      <c r="N41" s="4"/>
      <c r="O41" s="8"/>
      <c r="P41" s="4"/>
      <c r="Q41" s="8"/>
      <c r="R41" s="4"/>
      <c r="S41" s="8"/>
      <c r="T41" s="4"/>
      <c r="U41" s="8"/>
      <c r="V41" s="4"/>
      <c r="W41" s="8"/>
      <c r="X41" s="4"/>
      <c r="Y41" s="8"/>
      <c r="Z41" s="4"/>
      <c r="AA41" s="8"/>
      <c r="AB41" s="4"/>
      <c r="AC41" s="8"/>
      <c r="AD41" s="4"/>
    </row>
    <row r="42" spans="6:30" ht="15.75" customHeight="1">
      <c r="F42" s="11"/>
      <c r="G42" s="3"/>
      <c r="H42" s="5"/>
      <c r="I42" s="3"/>
      <c r="J42" s="6"/>
      <c r="K42" s="3"/>
      <c r="L42" s="5"/>
      <c r="M42" s="3"/>
      <c r="N42" s="5"/>
      <c r="O42" s="3"/>
      <c r="P42" s="5"/>
      <c r="Q42" s="3"/>
      <c r="R42" s="5"/>
      <c r="S42" s="3"/>
      <c r="T42" s="5"/>
      <c r="U42" s="3"/>
      <c r="V42" s="5"/>
      <c r="W42" s="3"/>
      <c r="X42" s="5"/>
      <c r="Y42" s="3"/>
      <c r="Z42" s="5"/>
      <c r="AA42" s="3"/>
      <c r="AB42" s="5"/>
      <c r="AC42" s="3"/>
      <c r="AD42" s="5"/>
    </row>
    <row r="43" spans="6:30">
      <c r="F43" s="11"/>
      <c r="G43" s="3"/>
      <c r="H43" s="5"/>
      <c r="I43" s="3"/>
      <c r="J43" s="5"/>
      <c r="K43" s="3"/>
      <c r="L43" s="5"/>
      <c r="M43" s="3"/>
      <c r="N43" s="5"/>
      <c r="O43" s="3"/>
      <c r="P43" s="5"/>
      <c r="Q43" s="3"/>
      <c r="R43" s="5"/>
      <c r="S43" s="3"/>
      <c r="T43" s="5"/>
      <c r="U43" s="3"/>
      <c r="V43" s="5"/>
      <c r="W43" s="3"/>
      <c r="X43" s="5"/>
      <c r="Y43" s="3"/>
      <c r="Z43" s="5"/>
      <c r="AA43" s="3"/>
      <c r="AB43" s="5"/>
      <c r="AC43" s="3"/>
      <c r="AD43" s="5"/>
    </row>
    <row r="44" spans="6:30">
      <c r="F44" s="11"/>
      <c r="G44" s="3"/>
      <c r="H44" s="5"/>
      <c r="I44" s="3"/>
      <c r="J44" s="5"/>
      <c r="K44" s="3"/>
      <c r="L44" s="5"/>
      <c r="M44" s="3"/>
      <c r="N44" s="5"/>
      <c r="O44" s="3"/>
      <c r="P44" s="5"/>
      <c r="Q44" s="3"/>
      <c r="R44" s="5"/>
      <c r="S44" s="3"/>
      <c r="T44" s="5"/>
      <c r="U44" s="3"/>
      <c r="V44" s="5"/>
      <c r="W44" s="3"/>
      <c r="X44" s="5"/>
      <c r="Y44" s="3"/>
      <c r="Z44" s="5"/>
      <c r="AA44" s="3"/>
      <c r="AB44" s="5"/>
      <c r="AC44" s="3"/>
      <c r="AD44" s="5"/>
    </row>
    <row r="45" spans="6:30">
      <c r="F45" s="11"/>
      <c r="G45" s="3"/>
      <c r="H45" s="5"/>
      <c r="I45" s="3"/>
      <c r="J45" s="5"/>
      <c r="K45" s="3"/>
      <c r="L45" s="5"/>
      <c r="M45" s="3"/>
      <c r="N45" s="5"/>
      <c r="O45" s="3"/>
      <c r="P45" s="5"/>
      <c r="Q45" s="3"/>
      <c r="R45" s="5"/>
      <c r="S45" s="3"/>
      <c r="T45" s="5"/>
      <c r="U45" s="3"/>
      <c r="V45" s="5"/>
      <c r="W45" s="3"/>
      <c r="X45" s="5"/>
      <c r="Y45" s="3"/>
      <c r="Z45" s="5"/>
      <c r="AA45" s="3"/>
      <c r="AB45" s="5"/>
      <c r="AC45" s="3"/>
      <c r="AD45" s="5"/>
    </row>
    <row r="46" spans="6:30">
      <c r="F46" s="11"/>
      <c r="G46" s="3"/>
      <c r="H46" s="5"/>
      <c r="I46" s="3"/>
      <c r="J46" s="5"/>
      <c r="K46" s="3"/>
      <c r="L46" s="5"/>
      <c r="M46" s="3"/>
      <c r="N46" s="5"/>
      <c r="O46" s="3"/>
      <c r="P46" s="5"/>
      <c r="Q46" s="3"/>
      <c r="R46" s="5"/>
      <c r="S46" s="3"/>
      <c r="T46" s="5"/>
      <c r="U46" s="3"/>
      <c r="V46" s="5"/>
      <c r="W46" s="3"/>
      <c r="X46" s="5"/>
      <c r="Y46" s="3"/>
      <c r="Z46" s="5"/>
      <c r="AA46" s="3"/>
      <c r="AB46" s="5"/>
      <c r="AC46" s="3"/>
      <c r="AD46" s="5"/>
    </row>
    <row r="47" spans="6:30" ht="15.75" customHeight="1">
      <c r="F47" s="12"/>
      <c r="G47" s="108"/>
      <c r="H47" s="109"/>
      <c r="I47" s="108"/>
      <c r="J47" s="109"/>
      <c r="K47" s="108"/>
      <c r="L47" s="109"/>
      <c r="M47" s="108"/>
      <c r="N47" s="109"/>
      <c r="O47" s="108"/>
      <c r="P47" s="109"/>
      <c r="Q47" s="108"/>
      <c r="R47" s="109"/>
      <c r="S47" s="108"/>
      <c r="T47" s="109"/>
      <c r="U47" s="108"/>
      <c r="V47" s="109"/>
      <c r="W47" s="108"/>
      <c r="X47" s="109"/>
      <c r="Y47" s="108"/>
      <c r="Z47" s="109"/>
      <c r="AA47" s="108"/>
      <c r="AB47" s="109"/>
      <c r="AC47" s="108"/>
      <c r="AD47" s="109"/>
    </row>
    <row r="48" spans="6:30" ht="15.75" customHeight="1"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6:30">
      <c r="F49" s="7"/>
      <c r="G49" s="106"/>
      <c r="H49" s="106"/>
      <c r="I49" s="106"/>
      <c r="J49" s="106"/>
      <c r="K49" s="106"/>
      <c r="L49" s="106"/>
      <c r="M49" s="106"/>
      <c r="N49" s="106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6:30">
      <c r="F50" s="7"/>
      <c r="G50" s="104"/>
      <c r="H50" s="105"/>
      <c r="I50" s="104"/>
      <c r="J50" s="105"/>
      <c r="K50" s="104"/>
      <c r="L50" s="105"/>
      <c r="M50" s="104"/>
      <c r="N50" s="10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6:30">
      <c r="F51" s="15"/>
      <c r="G51" s="104"/>
      <c r="H51" s="105"/>
      <c r="I51" s="104"/>
      <c r="J51" s="105"/>
      <c r="K51" s="104"/>
      <c r="L51" s="105"/>
      <c r="M51" s="104"/>
      <c r="N51" s="10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6:30">
      <c r="F52" s="27"/>
      <c r="G52" s="28"/>
      <c r="H52" s="28"/>
      <c r="I52" s="28"/>
      <c r="J52" s="28"/>
      <c r="K52" s="28"/>
      <c r="L52" s="28"/>
      <c r="M52" s="28"/>
      <c r="N52" s="28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6:30" ht="15.75" customHeight="1">
      <c r="F53" s="107"/>
      <c r="G53" s="107"/>
      <c r="H53" s="107"/>
      <c r="I53" s="107"/>
      <c r="J53" s="107"/>
      <c r="K53" s="107"/>
      <c r="L53" s="107"/>
      <c r="M53" s="107"/>
      <c r="N53" s="107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6:30" ht="16.5" customHeight="1">
      <c r="F54" s="13"/>
      <c r="G54" s="8"/>
      <c r="H54" s="4"/>
      <c r="I54" s="8"/>
      <c r="J54" s="4"/>
      <c r="K54" s="8"/>
      <c r="L54" s="4"/>
      <c r="M54" s="8"/>
      <c r="N54" s="4"/>
      <c r="O54" s="8"/>
      <c r="P54" s="4"/>
      <c r="Q54" s="8"/>
      <c r="R54" s="4"/>
      <c r="S54" s="8"/>
      <c r="T54" s="4"/>
      <c r="U54" s="8"/>
      <c r="V54" s="4"/>
      <c r="W54" s="8"/>
      <c r="X54" s="4"/>
      <c r="Y54" s="8"/>
      <c r="Z54" s="4"/>
      <c r="AA54" s="8"/>
      <c r="AB54" s="4"/>
      <c r="AC54" s="8"/>
      <c r="AD54" s="4"/>
    </row>
    <row r="55" spans="6:30" ht="15.75" customHeight="1">
      <c r="F55" s="11"/>
      <c r="G55" s="3"/>
      <c r="H55" s="5"/>
      <c r="I55" s="3"/>
      <c r="J55" s="6"/>
      <c r="K55" s="3"/>
      <c r="L55" s="5"/>
      <c r="M55" s="3"/>
      <c r="N55" s="5"/>
      <c r="O55" s="3"/>
      <c r="P55" s="5"/>
      <c r="Q55" s="3"/>
      <c r="R55" s="5"/>
      <c r="S55" s="3"/>
      <c r="T55" s="5"/>
      <c r="U55" s="3"/>
      <c r="V55" s="5"/>
      <c r="W55" s="3"/>
      <c r="X55" s="5"/>
      <c r="Y55" s="3"/>
      <c r="Z55" s="5"/>
      <c r="AA55" s="3"/>
      <c r="AB55" s="5"/>
      <c r="AC55" s="3"/>
      <c r="AD55" s="5"/>
    </row>
    <row r="56" spans="6:30">
      <c r="F56" s="11"/>
      <c r="G56" s="3"/>
      <c r="H56" s="5"/>
      <c r="I56" s="3"/>
      <c r="J56" s="5"/>
      <c r="K56" s="3"/>
      <c r="L56" s="5"/>
      <c r="M56" s="3"/>
      <c r="N56" s="5"/>
      <c r="O56" s="3"/>
      <c r="P56" s="5"/>
      <c r="Q56" s="3"/>
      <c r="R56" s="5"/>
      <c r="S56" s="3"/>
      <c r="T56" s="5"/>
      <c r="U56" s="3"/>
      <c r="V56" s="5"/>
      <c r="W56" s="3"/>
      <c r="X56" s="5"/>
      <c r="Y56" s="3"/>
      <c r="Z56" s="5"/>
      <c r="AA56" s="3"/>
      <c r="AB56" s="5"/>
      <c r="AC56" s="3"/>
      <c r="AD56" s="5"/>
    </row>
    <row r="57" spans="6:30">
      <c r="F57" s="11"/>
      <c r="G57" s="3"/>
      <c r="H57" s="5"/>
      <c r="I57" s="3"/>
      <c r="J57" s="5"/>
      <c r="K57" s="3"/>
      <c r="L57" s="5"/>
      <c r="M57" s="3"/>
      <c r="N57" s="5"/>
      <c r="O57" s="3"/>
      <c r="P57" s="5"/>
      <c r="Q57" s="3"/>
      <c r="R57" s="5"/>
      <c r="S57" s="3"/>
      <c r="T57" s="5"/>
      <c r="U57" s="3"/>
      <c r="V57" s="5"/>
      <c r="W57" s="3"/>
      <c r="X57" s="5"/>
      <c r="Y57" s="3"/>
      <c r="Z57" s="5"/>
      <c r="AA57" s="3"/>
      <c r="AB57" s="5"/>
      <c r="AC57" s="3"/>
      <c r="AD57" s="5"/>
    </row>
    <row r="58" spans="6:30">
      <c r="F58" s="11"/>
      <c r="G58" s="3"/>
      <c r="H58" s="5"/>
      <c r="I58" s="3"/>
      <c r="J58" s="5"/>
      <c r="K58" s="3"/>
      <c r="L58" s="5"/>
      <c r="M58" s="3"/>
      <c r="N58" s="5"/>
      <c r="O58" s="3"/>
      <c r="P58" s="5"/>
      <c r="Q58" s="3"/>
      <c r="R58" s="5"/>
      <c r="S58" s="3"/>
      <c r="T58" s="5"/>
      <c r="U58" s="3"/>
      <c r="V58" s="5"/>
      <c r="W58" s="3"/>
      <c r="X58" s="5"/>
      <c r="Y58" s="3"/>
      <c r="Z58" s="5"/>
      <c r="AA58" s="3"/>
      <c r="AB58" s="5"/>
      <c r="AC58" s="3"/>
      <c r="AD58" s="5"/>
    </row>
    <row r="59" spans="6:30">
      <c r="F59" s="11"/>
      <c r="G59" s="3"/>
      <c r="H59" s="5"/>
      <c r="I59" s="3"/>
      <c r="J59" s="5"/>
      <c r="K59" s="3"/>
      <c r="L59" s="5"/>
      <c r="M59" s="3"/>
      <c r="N59" s="5"/>
      <c r="O59" s="3"/>
      <c r="P59" s="5"/>
      <c r="Q59" s="3"/>
      <c r="R59" s="5"/>
      <c r="S59" s="3"/>
      <c r="T59" s="5"/>
      <c r="U59" s="3"/>
      <c r="V59" s="5"/>
      <c r="W59" s="3"/>
      <c r="X59" s="5"/>
      <c r="Y59" s="3"/>
      <c r="Z59" s="5"/>
      <c r="AA59" s="3"/>
      <c r="AB59" s="5"/>
      <c r="AC59" s="3"/>
      <c r="AD59" s="5"/>
    </row>
    <row r="60" spans="6:30" ht="15.75" customHeight="1">
      <c r="F60" s="12"/>
      <c r="G60" s="108"/>
      <c r="H60" s="109"/>
      <c r="I60" s="108"/>
      <c r="J60" s="109"/>
      <c r="K60" s="108"/>
      <c r="L60" s="109"/>
      <c r="M60" s="108"/>
      <c r="N60" s="109"/>
      <c r="O60" s="108"/>
      <c r="P60" s="109"/>
      <c r="Q60" s="108"/>
      <c r="R60" s="109"/>
      <c r="S60" s="108"/>
      <c r="T60" s="109"/>
      <c r="U60" s="108"/>
      <c r="V60" s="109"/>
      <c r="W60" s="108"/>
      <c r="X60" s="109"/>
      <c r="Y60" s="108"/>
      <c r="Z60" s="109"/>
      <c r="AA60" s="108"/>
      <c r="AB60" s="109"/>
      <c r="AC60" s="108"/>
      <c r="AD60" s="109"/>
    </row>
    <row r="61" spans="6:30" ht="15.75" customHeight="1"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6:30">
      <c r="F62" s="7"/>
      <c r="G62" s="106"/>
      <c r="H62" s="106"/>
      <c r="I62" s="106"/>
      <c r="J62" s="106"/>
      <c r="K62" s="106"/>
      <c r="L62" s="106"/>
      <c r="M62" s="106"/>
      <c r="N62" s="106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6:30">
      <c r="F63" s="7"/>
      <c r="G63" s="104"/>
      <c r="H63" s="105"/>
      <c r="I63" s="104"/>
      <c r="J63" s="105"/>
      <c r="K63" s="104"/>
      <c r="L63" s="105"/>
      <c r="M63" s="104"/>
      <c r="N63" s="10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6:30">
      <c r="F64" s="15"/>
      <c r="G64" s="104"/>
      <c r="H64" s="105"/>
      <c r="I64" s="104"/>
      <c r="J64" s="105"/>
      <c r="K64" s="104"/>
      <c r="L64" s="105"/>
      <c r="M64" s="104"/>
      <c r="N64" s="10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6:30"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6:30" ht="15.75" customHeight="1">
      <c r="F66" s="107"/>
      <c r="G66" s="107"/>
      <c r="H66" s="107"/>
      <c r="I66" s="107"/>
      <c r="J66" s="107"/>
      <c r="K66" s="107"/>
      <c r="L66" s="107"/>
      <c r="M66" s="107"/>
      <c r="N66" s="107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6:30" ht="16.5" customHeight="1">
      <c r="F67" s="13"/>
      <c r="G67" s="8"/>
      <c r="H67" s="4"/>
      <c r="I67" s="8"/>
      <c r="J67" s="4"/>
      <c r="K67" s="8"/>
      <c r="L67" s="4"/>
      <c r="M67" s="8"/>
      <c r="N67" s="4"/>
      <c r="O67" s="8"/>
      <c r="P67" s="4"/>
      <c r="Q67" s="8"/>
      <c r="R67" s="4"/>
      <c r="S67" s="8"/>
      <c r="T67" s="4"/>
      <c r="U67" s="8"/>
      <c r="V67" s="4"/>
      <c r="W67" s="8"/>
      <c r="X67" s="4"/>
      <c r="Y67" s="8"/>
      <c r="Z67" s="4"/>
      <c r="AA67" s="8"/>
      <c r="AB67" s="4"/>
      <c r="AC67" s="8"/>
      <c r="AD67" s="4"/>
    </row>
    <row r="68" spans="6:30" ht="15.75" customHeight="1">
      <c r="F68" s="11"/>
      <c r="G68" s="3"/>
      <c r="H68" s="5"/>
      <c r="I68" s="3"/>
      <c r="J68" s="6"/>
      <c r="K68" s="3"/>
      <c r="L68" s="5"/>
      <c r="M68" s="3"/>
      <c r="N68" s="5"/>
      <c r="O68" s="3"/>
      <c r="P68" s="5"/>
      <c r="Q68" s="3"/>
      <c r="R68" s="5"/>
      <c r="S68" s="3"/>
      <c r="T68" s="5"/>
      <c r="U68" s="3"/>
      <c r="V68" s="5"/>
      <c r="W68" s="3"/>
      <c r="X68" s="5"/>
      <c r="Y68" s="3"/>
      <c r="Z68" s="5"/>
      <c r="AA68" s="3"/>
      <c r="AB68" s="5"/>
      <c r="AC68" s="3"/>
      <c r="AD68" s="5"/>
    </row>
    <row r="69" spans="6:30">
      <c r="F69" s="11"/>
      <c r="G69" s="3"/>
      <c r="H69" s="5"/>
      <c r="I69" s="3"/>
      <c r="J69" s="5"/>
      <c r="K69" s="3"/>
      <c r="L69" s="5"/>
      <c r="M69" s="3"/>
      <c r="N69" s="5"/>
      <c r="O69" s="3"/>
      <c r="P69" s="5"/>
      <c r="Q69" s="3"/>
      <c r="R69" s="5"/>
      <c r="S69" s="3"/>
      <c r="T69" s="5"/>
      <c r="U69" s="3"/>
      <c r="V69" s="5"/>
      <c r="W69" s="3"/>
      <c r="X69" s="5"/>
      <c r="Y69" s="3"/>
      <c r="Z69" s="5"/>
      <c r="AA69" s="3"/>
      <c r="AB69" s="5"/>
      <c r="AC69" s="3"/>
      <c r="AD69" s="5"/>
    </row>
    <row r="70" spans="6:30">
      <c r="F70" s="11"/>
      <c r="G70" s="3"/>
      <c r="H70" s="5"/>
      <c r="I70" s="3"/>
      <c r="J70" s="5"/>
      <c r="K70" s="3"/>
      <c r="L70" s="5"/>
      <c r="M70" s="3"/>
      <c r="N70" s="5"/>
      <c r="O70" s="3"/>
      <c r="P70" s="5"/>
      <c r="Q70" s="3"/>
      <c r="R70" s="5"/>
      <c r="S70" s="3"/>
      <c r="T70" s="5"/>
      <c r="U70" s="3"/>
      <c r="V70" s="5"/>
      <c r="W70" s="3"/>
      <c r="X70" s="5"/>
      <c r="Y70" s="3"/>
      <c r="Z70" s="5"/>
      <c r="AA70" s="3"/>
      <c r="AB70" s="5"/>
      <c r="AC70" s="3"/>
      <c r="AD70" s="5"/>
    </row>
    <row r="71" spans="6:30">
      <c r="F71" s="11"/>
      <c r="G71" s="3"/>
      <c r="H71" s="5"/>
      <c r="I71" s="3"/>
      <c r="J71" s="5"/>
      <c r="K71" s="3"/>
      <c r="L71" s="5"/>
      <c r="M71" s="3"/>
      <c r="N71" s="5"/>
      <c r="O71" s="3"/>
      <c r="P71" s="5"/>
      <c r="Q71" s="3"/>
      <c r="R71" s="5"/>
      <c r="S71" s="3"/>
      <c r="T71" s="5"/>
      <c r="U71" s="3"/>
      <c r="V71" s="5"/>
      <c r="W71" s="3"/>
      <c r="X71" s="5"/>
      <c r="Y71" s="3"/>
      <c r="Z71" s="5"/>
      <c r="AA71" s="3"/>
      <c r="AB71" s="5"/>
      <c r="AC71" s="3"/>
      <c r="AD71" s="5"/>
    </row>
    <row r="72" spans="6:30">
      <c r="F72" s="11"/>
      <c r="G72" s="3"/>
      <c r="H72" s="5"/>
      <c r="I72" s="3"/>
      <c r="J72" s="5"/>
      <c r="K72" s="3"/>
      <c r="L72" s="5"/>
      <c r="M72" s="3"/>
      <c r="N72" s="5"/>
      <c r="O72" s="3"/>
      <c r="P72" s="5"/>
      <c r="Q72" s="3"/>
      <c r="R72" s="5"/>
      <c r="S72" s="3"/>
      <c r="T72" s="5"/>
      <c r="U72" s="3"/>
      <c r="V72" s="5"/>
      <c r="W72" s="3"/>
      <c r="X72" s="5"/>
      <c r="Y72" s="3"/>
      <c r="Z72" s="5"/>
      <c r="AA72" s="3"/>
      <c r="AB72" s="5"/>
      <c r="AC72" s="3"/>
      <c r="AD72" s="5"/>
    </row>
    <row r="73" spans="6:30" ht="15.75" customHeight="1">
      <c r="F73" s="12"/>
      <c r="G73" s="108"/>
      <c r="H73" s="109"/>
      <c r="I73" s="108"/>
      <c r="J73" s="109"/>
      <c r="K73" s="108"/>
      <c r="L73" s="109"/>
      <c r="M73" s="108"/>
      <c r="N73" s="109"/>
      <c r="O73" s="108"/>
      <c r="P73" s="109"/>
      <c r="Q73" s="108"/>
      <c r="R73" s="109"/>
      <c r="S73" s="108"/>
      <c r="T73" s="109"/>
      <c r="U73" s="108"/>
      <c r="V73" s="109"/>
      <c r="W73" s="108"/>
      <c r="X73" s="109"/>
      <c r="Y73" s="108"/>
      <c r="Z73" s="109"/>
      <c r="AA73" s="108"/>
      <c r="AB73" s="109"/>
      <c r="AC73" s="108"/>
      <c r="AD73" s="109"/>
    </row>
    <row r="74" spans="6:30" ht="15.75" customHeight="1"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6:30">
      <c r="F75" s="7"/>
      <c r="G75" s="106"/>
      <c r="H75" s="106"/>
      <c r="I75" s="106"/>
      <c r="J75" s="106"/>
      <c r="K75" s="106"/>
      <c r="L75" s="106"/>
      <c r="M75" s="106"/>
      <c r="N75" s="106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6:30">
      <c r="F76" s="7"/>
      <c r="G76" s="104"/>
      <c r="H76" s="105"/>
      <c r="I76" s="104"/>
      <c r="J76" s="105"/>
      <c r="K76" s="104"/>
      <c r="L76" s="105"/>
      <c r="M76" s="104"/>
      <c r="N76" s="105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6:30">
      <c r="F77" s="15"/>
      <c r="G77" s="104"/>
      <c r="H77" s="105"/>
      <c r="I77" s="104"/>
      <c r="J77" s="105"/>
      <c r="K77" s="104"/>
      <c r="L77" s="105"/>
      <c r="M77" s="104"/>
      <c r="N77" s="105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6:30"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6:30" ht="15.75" customHeight="1">
      <c r="F79" s="107"/>
      <c r="G79" s="107"/>
      <c r="H79" s="107"/>
      <c r="I79" s="107"/>
      <c r="J79" s="107"/>
      <c r="K79" s="107"/>
      <c r="L79" s="107"/>
      <c r="M79" s="107"/>
      <c r="N79" s="107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6:30" ht="16.5" customHeight="1">
      <c r="F80" s="13"/>
      <c r="G80" s="8"/>
      <c r="H80" s="4"/>
      <c r="I80" s="8"/>
      <c r="J80" s="4"/>
      <c r="K80" s="8"/>
      <c r="L80" s="4"/>
      <c r="M80" s="8"/>
      <c r="N80" s="4"/>
      <c r="O80" s="8"/>
      <c r="P80" s="4"/>
      <c r="Q80" s="8"/>
      <c r="R80" s="4"/>
      <c r="S80" s="8"/>
      <c r="T80" s="4"/>
      <c r="U80" s="8"/>
      <c r="V80" s="4"/>
      <c r="W80" s="8"/>
      <c r="X80" s="4"/>
      <c r="Y80" s="8"/>
      <c r="Z80" s="4"/>
      <c r="AA80" s="8"/>
      <c r="AB80" s="4"/>
      <c r="AC80" s="8"/>
      <c r="AD80" s="4"/>
    </row>
    <row r="81" spans="6:30" ht="15.75" customHeight="1">
      <c r="F81" s="11"/>
      <c r="G81" s="3"/>
      <c r="H81" s="5"/>
      <c r="I81" s="3"/>
      <c r="J81" s="6"/>
      <c r="K81" s="3"/>
      <c r="L81" s="5"/>
      <c r="M81" s="3"/>
      <c r="N81" s="5"/>
      <c r="O81" s="3"/>
      <c r="P81" s="5"/>
      <c r="Q81" s="3"/>
      <c r="R81" s="5"/>
      <c r="S81" s="3"/>
      <c r="T81" s="5"/>
      <c r="U81" s="3"/>
      <c r="V81" s="5"/>
      <c r="W81" s="3"/>
      <c r="X81" s="5"/>
      <c r="Y81" s="3"/>
      <c r="Z81" s="5"/>
      <c r="AA81" s="3"/>
      <c r="AB81" s="5"/>
      <c r="AC81" s="3"/>
      <c r="AD81" s="5"/>
    </row>
    <row r="82" spans="6:30">
      <c r="F82" s="11"/>
      <c r="G82" s="3"/>
      <c r="H82" s="5"/>
      <c r="I82" s="3"/>
      <c r="J82" s="5"/>
      <c r="K82" s="3"/>
      <c r="L82" s="5"/>
      <c r="M82" s="3"/>
      <c r="N82" s="5"/>
      <c r="O82" s="3"/>
      <c r="P82" s="5"/>
      <c r="Q82" s="3"/>
      <c r="R82" s="5"/>
      <c r="S82" s="3"/>
      <c r="T82" s="5"/>
      <c r="U82" s="3"/>
      <c r="V82" s="5"/>
      <c r="W82" s="3"/>
      <c r="X82" s="5"/>
      <c r="Y82" s="3"/>
      <c r="Z82" s="5"/>
      <c r="AA82" s="3"/>
      <c r="AB82" s="5"/>
      <c r="AC82" s="3"/>
      <c r="AD82" s="5"/>
    </row>
    <row r="83" spans="6:30">
      <c r="F83" s="11"/>
      <c r="G83" s="3"/>
      <c r="H83" s="5"/>
      <c r="I83" s="3"/>
      <c r="J83" s="5"/>
      <c r="K83" s="3"/>
      <c r="L83" s="5"/>
      <c r="M83" s="3"/>
      <c r="N83" s="5"/>
      <c r="O83" s="3"/>
      <c r="P83" s="5"/>
      <c r="Q83" s="3"/>
      <c r="R83" s="5"/>
      <c r="S83" s="3"/>
      <c r="T83" s="5"/>
      <c r="U83" s="3"/>
      <c r="V83" s="5"/>
      <c r="W83" s="3"/>
      <c r="X83" s="5"/>
      <c r="Y83" s="3"/>
      <c r="Z83" s="5"/>
      <c r="AA83" s="3"/>
      <c r="AB83" s="5"/>
      <c r="AC83" s="3"/>
      <c r="AD83" s="5"/>
    </row>
    <row r="84" spans="6:30">
      <c r="F84" s="11"/>
      <c r="G84" s="3"/>
      <c r="H84" s="5"/>
      <c r="I84" s="3"/>
      <c r="J84" s="5"/>
      <c r="K84" s="3"/>
      <c r="L84" s="5"/>
      <c r="M84" s="3"/>
      <c r="N84" s="5"/>
      <c r="O84" s="3"/>
      <c r="P84" s="5"/>
      <c r="Q84" s="3"/>
      <c r="R84" s="5"/>
      <c r="S84" s="3"/>
      <c r="T84" s="5"/>
      <c r="U84" s="3"/>
      <c r="V84" s="5"/>
      <c r="W84" s="3"/>
      <c r="X84" s="5"/>
      <c r="Y84" s="3"/>
      <c r="Z84" s="5"/>
      <c r="AA84" s="3"/>
      <c r="AB84" s="5"/>
      <c r="AC84" s="3"/>
      <c r="AD84" s="5"/>
    </row>
    <row r="85" spans="6:30">
      <c r="F85" s="11"/>
      <c r="G85" s="3"/>
      <c r="H85" s="5"/>
      <c r="I85" s="3"/>
      <c r="J85" s="5"/>
      <c r="K85" s="3"/>
      <c r="L85" s="5"/>
      <c r="M85" s="3"/>
      <c r="N85" s="5"/>
      <c r="O85" s="3"/>
      <c r="P85" s="5"/>
      <c r="Q85" s="3"/>
      <c r="R85" s="5"/>
      <c r="S85" s="3"/>
      <c r="T85" s="5"/>
      <c r="U85" s="3"/>
      <c r="V85" s="5"/>
      <c r="W85" s="3"/>
      <c r="X85" s="5"/>
      <c r="Y85" s="3"/>
      <c r="Z85" s="5"/>
      <c r="AA85" s="3"/>
      <c r="AB85" s="5"/>
      <c r="AC85" s="3"/>
      <c r="AD85" s="5"/>
    </row>
    <row r="86" spans="6:30" ht="15.75" customHeight="1">
      <c r="F86" s="12"/>
      <c r="G86" s="108"/>
      <c r="H86" s="109"/>
      <c r="I86" s="108"/>
      <c r="J86" s="109"/>
      <c r="K86" s="108"/>
      <c r="L86" s="109"/>
      <c r="M86" s="108"/>
      <c r="N86" s="109"/>
      <c r="O86" s="108"/>
      <c r="P86" s="109"/>
      <c r="Q86" s="108"/>
      <c r="R86" s="109"/>
      <c r="S86" s="108"/>
      <c r="T86" s="109"/>
      <c r="U86" s="108"/>
      <c r="V86" s="109"/>
      <c r="W86" s="108"/>
      <c r="X86" s="109"/>
      <c r="Y86" s="108"/>
      <c r="Z86" s="109"/>
      <c r="AA86" s="108"/>
      <c r="AB86" s="109"/>
      <c r="AC86" s="108"/>
      <c r="AD86" s="109"/>
    </row>
    <row r="87" spans="6:30"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6:30">
      <c r="F88" s="7"/>
      <c r="G88" s="106"/>
      <c r="H88" s="106"/>
      <c r="I88" s="106"/>
      <c r="J88" s="106"/>
      <c r="K88" s="106"/>
      <c r="L88" s="106"/>
      <c r="M88" s="106"/>
      <c r="N88" s="106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6:30">
      <c r="F89" s="7"/>
      <c r="G89" s="104"/>
      <c r="H89" s="105"/>
      <c r="I89" s="104"/>
      <c r="J89" s="105"/>
      <c r="K89" s="104"/>
      <c r="L89" s="105"/>
      <c r="M89" s="104"/>
      <c r="N89" s="105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6:30">
      <c r="F90" s="15"/>
      <c r="G90" s="104"/>
      <c r="H90" s="105"/>
      <c r="I90" s="104"/>
      <c r="J90" s="105"/>
      <c r="K90" s="104"/>
      <c r="L90" s="105"/>
      <c r="M90" s="104"/>
      <c r="N90" s="105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6:30"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6:30">
      <c r="F92" s="107"/>
      <c r="G92" s="107"/>
      <c r="H92" s="107"/>
      <c r="I92" s="107"/>
      <c r="J92" s="107"/>
      <c r="K92" s="107"/>
      <c r="L92" s="107"/>
      <c r="M92" s="107"/>
      <c r="N92" s="107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6:30" ht="16.5" customHeight="1">
      <c r="F93" s="13"/>
      <c r="G93" s="8"/>
      <c r="H93" s="4"/>
      <c r="I93" s="8"/>
      <c r="J93" s="4"/>
      <c r="K93" s="8"/>
      <c r="L93" s="4"/>
      <c r="M93" s="8"/>
      <c r="N93" s="4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6:30" ht="15.75" customHeight="1">
      <c r="F94" s="14"/>
      <c r="G94" s="9"/>
      <c r="H94" s="6"/>
      <c r="I94" s="9"/>
      <c r="J94" s="6"/>
      <c r="K94" s="9"/>
      <c r="L94" s="6"/>
      <c r="M94" s="9"/>
      <c r="N94" s="6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6:30">
      <c r="F95" s="11"/>
      <c r="G95" s="10"/>
      <c r="H95" s="5"/>
      <c r="I95" s="10"/>
      <c r="J95" s="5"/>
      <c r="K95" s="10"/>
      <c r="L95" s="5"/>
      <c r="M95" s="10"/>
      <c r="N95" s="5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6:30">
      <c r="F96" s="11"/>
      <c r="G96" s="10"/>
      <c r="H96" s="5"/>
      <c r="I96" s="10"/>
      <c r="J96" s="5"/>
      <c r="K96" s="10"/>
      <c r="L96" s="5"/>
      <c r="M96" s="10"/>
      <c r="N96" s="5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6:27">
      <c r="F97" s="11"/>
      <c r="G97" s="10"/>
      <c r="H97" s="5"/>
      <c r="I97" s="10"/>
      <c r="J97" s="5"/>
      <c r="K97" s="10"/>
      <c r="L97" s="5"/>
      <c r="M97" s="10"/>
      <c r="N97" s="5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6:27">
      <c r="F98" s="11"/>
      <c r="G98" s="10"/>
      <c r="H98" s="5"/>
      <c r="I98" s="10"/>
      <c r="J98" s="5"/>
      <c r="K98" s="10"/>
      <c r="L98" s="5"/>
      <c r="M98" s="10"/>
      <c r="N98" s="5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6:27" ht="15.75" customHeight="1">
      <c r="F99" s="12"/>
      <c r="G99" s="111"/>
      <c r="H99" s="109"/>
      <c r="I99" s="111"/>
      <c r="J99" s="109"/>
      <c r="K99" s="111"/>
      <c r="L99" s="109"/>
      <c r="M99" s="111"/>
      <c r="N99" s="109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6:27"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6:27">
      <c r="F101" s="7"/>
      <c r="G101" s="112"/>
      <c r="H101" s="113"/>
      <c r="I101" s="112"/>
      <c r="J101" s="113"/>
      <c r="K101" s="112"/>
      <c r="L101" s="113"/>
      <c r="M101" s="112"/>
      <c r="N101" s="113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6:27">
      <c r="F102" s="7"/>
      <c r="G102" s="104"/>
      <c r="H102" s="105"/>
      <c r="I102" s="104"/>
      <c r="J102" s="105"/>
      <c r="K102" s="104"/>
      <c r="L102" s="105"/>
      <c r="M102" s="104"/>
      <c r="N102" s="105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6:27">
      <c r="F103" s="15"/>
      <c r="G103" s="104"/>
      <c r="H103" s="105"/>
      <c r="I103" s="104"/>
      <c r="J103" s="105"/>
      <c r="K103" s="104"/>
      <c r="L103" s="105"/>
      <c r="M103" s="104"/>
      <c r="N103" s="105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6:27"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6:27">
      <c r="F105" s="107"/>
      <c r="G105" s="107"/>
      <c r="H105" s="107"/>
      <c r="I105" s="107"/>
      <c r="J105" s="107"/>
      <c r="K105" s="107"/>
      <c r="L105" s="107"/>
      <c r="M105" s="107"/>
      <c r="N105" s="107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6:27">
      <c r="F106" s="13"/>
      <c r="G106" s="8"/>
      <c r="H106" s="4"/>
      <c r="I106" s="8"/>
      <c r="J106" s="4"/>
      <c r="K106" s="8"/>
      <c r="L106" s="4"/>
      <c r="M106" s="8"/>
      <c r="N106" s="4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6:27">
      <c r="F107" s="14"/>
      <c r="G107" s="9"/>
      <c r="H107" s="6"/>
      <c r="I107" s="9"/>
      <c r="J107" s="6"/>
      <c r="K107" s="9"/>
      <c r="L107" s="6"/>
      <c r="M107" s="9"/>
      <c r="N107" s="6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6:27">
      <c r="F108" s="11"/>
      <c r="G108" s="10"/>
      <c r="H108" s="5"/>
      <c r="I108" s="10"/>
      <c r="J108" s="5"/>
      <c r="K108" s="10"/>
      <c r="L108" s="5"/>
      <c r="M108" s="100"/>
      <c r="N108" s="5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6:27">
      <c r="F109" s="11"/>
      <c r="G109" s="10"/>
      <c r="H109" s="5"/>
      <c r="I109" s="10"/>
      <c r="J109" s="5"/>
      <c r="K109" s="10"/>
      <c r="L109" s="5"/>
      <c r="M109" s="10"/>
      <c r="N109" s="5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6:27">
      <c r="F110" s="11"/>
      <c r="G110" s="10"/>
      <c r="H110" s="5"/>
      <c r="I110" s="10"/>
      <c r="J110" s="5"/>
      <c r="K110" s="10"/>
      <c r="L110" s="5"/>
      <c r="M110" s="10"/>
      <c r="N110" s="5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6:27">
      <c r="F111" s="11"/>
      <c r="G111" s="10"/>
      <c r="H111" s="5"/>
      <c r="I111" s="10"/>
      <c r="J111" s="5"/>
      <c r="K111" s="10"/>
      <c r="L111" s="5"/>
      <c r="M111" s="10"/>
      <c r="N111" s="5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6:27" ht="15.75" customHeight="1">
      <c r="F112" s="12"/>
      <c r="G112" s="111"/>
      <c r="H112" s="109"/>
      <c r="I112" s="111"/>
      <c r="J112" s="109"/>
      <c r="K112" s="111"/>
      <c r="L112" s="109"/>
      <c r="M112" s="111"/>
      <c r="N112" s="109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6:27"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6:27">
      <c r="F114" s="7"/>
      <c r="G114" s="112"/>
      <c r="H114" s="113"/>
      <c r="I114" s="112"/>
      <c r="J114" s="113"/>
      <c r="K114" s="112"/>
      <c r="L114" s="113"/>
      <c r="M114" s="112"/>
      <c r="N114" s="113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6:27">
      <c r="F115" s="7"/>
      <c r="G115" s="104"/>
      <c r="H115" s="105"/>
      <c r="I115" s="104"/>
      <c r="J115" s="105"/>
      <c r="K115" s="104"/>
      <c r="L115" s="105"/>
      <c r="M115" s="104"/>
      <c r="N115" s="105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6:27">
      <c r="F116" s="15"/>
      <c r="G116" s="104"/>
      <c r="H116" s="105"/>
      <c r="I116" s="104"/>
      <c r="J116" s="105"/>
      <c r="K116" s="104"/>
      <c r="L116" s="105"/>
      <c r="M116" s="104"/>
      <c r="N116" s="105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6:27"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6:27">
      <c r="F118" s="107"/>
      <c r="G118" s="107"/>
      <c r="H118" s="107"/>
      <c r="I118" s="107"/>
      <c r="J118" s="107"/>
      <c r="K118" s="107"/>
      <c r="L118" s="107"/>
      <c r="M118" s="107"/>
      <c r="N118" s="107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6:27">
      <c r="F119" s="13"/>
      <c r="G119" s="8"/>
      <c r="H119" s="4"/>
      <c r="I119" s="8"/>
      <c r="J119" s="4"/>
      <c r="K119" s="8"/>
      <c r="L119" s="4"/>
      <c r="M119" s="8"/>
      <c r="N119" s="4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6:27">
      <c r="F120" s="14"/>
      <c r="G120" s="9"/>
      <c r="H120" s="6"/>
      <c r="I120" s="9"/>
      <c r="J120" s="6"/>
      <c r="K120" s="9"/>
      <c r="L120" s="6"/>
      <c r="M120" s="9"/>
      <c r="N120" s="6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6:27">
      <c r="F121" s="11"/>
      <c r="G121" s="10"/>
      <c r="H121" s="6"/>
      <c r="I121" s="10"/>
      <c r="J121" s="6"/>
      <c r="K121" s="10"/>
      <c r="L121" s="5"/>
      <c r="M121" s="10"/>
      <c r="N121" s="5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6:27">
      <c r="F122" s="11"/>
      <c r="G122" s="10"/>
      <c r="H122" s="5"/>
      <c r="I122" s="10"/>
      <c r="J122" s="5"/>
      <c r="K122" s="10"/>
      <c r="L122" s="5"/>
      <c r="M122" s="10"/>
      <c r="N122" s="5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6:27">
      <c r="F123" s="11"/>
      <c r="G123" s="10"/>
      <c r="H123" s="5"/>
      <c r="I123" s="10"/>
      <c r="J123" s="5"/>
      <c r="K123" s="10"/>
      <c r="L123" s="5"/>
      <c r="M123" s="10"/>
      <c r="N123" s="5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6:27">
      <c r="F124" s="11"/>
      <c r="G124" s="10"/>
      <c r="H124" s="5"/>
      <c r="I124" s="10"/>
      <c r="J124" s="5"/>
      <c r="K124" s="10"/>
      <c r="L124" s="5"/>
      <c r="M124" s="10"/>
      <c r="N124" s="5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6:27" ht="15.75" customHeight="1">
      <c r="F125" s="12"/>
      <c r="G125" s="111"/>
      <c r="H125" s="109"/>
      <c r="I125" s="111"/>
      <c r="J125" s="109"/>
      <c r="K125" s="111"/>
      <c r="L125" s="109"/>
      <c r="M125" s="111"/>
      <c r="N125" s="109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6:27"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6:27">
      <c r="F127" s="7"/>
      <c r="G127" s="112"/>
      <c r="H127" s="113"/>
      <c r="I127" s="112"/>
      <c r="J127" s="113"/>
      <c r="K127" s="112"/>
      <c r="L127" s="113"/>
      <c r="M127" s="112"/>
      <c r="N127" s="113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6:27">
      <c r="F128" s="7"/>
      <c r="G128" s="104"/>
      <c r="H128" s="105"/>
      <c r="I128" s="114"/>
      <c r="J128" s="115"/>
      <c r="K128" s="112"/>
      <c r="L128" s="113"/>
      <c r="M128" s="112"/>
      <c r="N128" s="113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6:27">
      <c r="F129" s="15"/>
      <c r="G129" s="104"/>
      <c r="H129" s="105"/>
      <c r="I129" s="104"/>
      <c r="J129" s="105"/>
      <c r="K129" s="104"/>
      <c r="L129" s="105"/>
      <c r="M129" s="104"/>
      <c r="N129" s="105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6:27"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6:27"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6:27"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6:27"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6:27"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6:27"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6:27"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6:27"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6:27"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6:27"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6:27"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6:27"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6:27"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6:27"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6:27"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6:27"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6:27"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</sheetData>
  <mergeCells count="300">
    <mergeCell ref="O12:P12"/>
    <mergeCell ref="Q12:R12"/>
    <mergeCell ref="S12:T12"/>
    <mergeCell ref="U12:V12"/>
    <mergeCell ref="W12:X12"/>
    <mergeCell ref="Y12:Z12"/>
    <mergeCell ref="AA12:AB12"/>
    <mergeCell ref="AC12:AD12"/>
    <mergeCell ref="O10:P10"/>
    <mergeCell ref="Q10:R10"/>
    <mergeCell ref="S10:T10"/>
    <mergeCell ref="U10:V10"/>
    <mergeCell ref="W10:X10"/>
    <mergeCell ref="Y10:Z10"/>
    <mergeCell ref="AA10:AB10"/>
    <mergeCell ref="AC10:AD10"/>
    <mergeCell ref="O11:P11"/>
    <mergeCell ref="Q11:R11"/>
    <mergeCell ref="S11:T11"/>
    <mergeCell ref="U11:V11"/>
    <mergeCell ref="W11:X11"/>
    <mergeCell ref="Y11:Z11"/>
    <mergeCell ref="AA11:AB11"/>
    <mergeCell ref="AC11:AD11"/>
    <mergeCell ref="O73:P73"/>
    <mergeCell ref="Q73:R73"/>
    <mergeCell ref="S73:T73"/>
    <mergeCell ref="U73:V73"/>
    <mergeCell ref="W73:X73"/>
    <mergeCell ref="Y73:Z73"/>
    <mergeCell ref="AA73:AB73"/>
    <mergeCell ref="AC73:AD73"/>
    <mergeCell ref="O86:P86"/>
    <mergeCell ref="Q86:R86"/>
    <mergeCell ref="S86:T86"/>
    <mergeCell ref="U86:V86"/>
    <mergeCell ref="W86:X86"/>
    <mergeCell ref="Y86:Z86"/>
    <mergeCell ref="AA86:AB86"/>
    <mergeCell ref="AC86:AD86"/>
    <mergeCell ref="O47:P47"/>
    <mergeCell ref="Q47:R47"/>
    <mergeCell ref="S47:T47"/>
    <mergeCell ref="U47:V47"/>
    <mergeCell ref="W47:X47"/>
    <mergeCell ref="Y47:Z47"/>
    <mergeCell ref="AA47:AB47"/>
    <mergeCell ref="AC47:AD47"/>
    <mergeCell ref="O60:P60"/>
    <mergeCell ref="Q60:R60"/>
    <mergeCell ref="S60:T60"/>
    <mergeCell ref="U60:V60"/>
    <mergeCell ref="W60:X60"/>
    <mergeCell ref="Y60:Z60"/>
    <mergeCell ref="AA60:AB60"/>
    <mergeCell ref="AC60:AD60"/>
    <mergeCell ref="O21:P21"/>
    <mergeCell ref="Q21:R21"/>
    <mergeCell ref="S21:T21"/>
    <mergeCell ref="U21:V21"/>
    <mergeCell ref="W21:X21"/>
    <mergeCell ref="Y21:Z21"/>
    <mergeCell ref="AA21:AB21"/>
    <mergeCell ref="AC21:AD21"/>
    <mergeCell ref="O34:P34"/>
    <mergeCell ref="Q34:R34"/>
    <mergeCell ref="S34:T34"/>
    <mergeCell ref="U34:V34"/>
    <mergeCell ref="W34:X34"/>
    <mergeCell ref="Y34:Z34"/>
    <mergeCell ref="AA34:AB34"/>
    <mergeCell ref="AC34:AD34"/>
    <mergeCell ref="AA24:AB24"/>
    <mergeCell ref="AC24:AD24"/>
    <mergeCell ref="O25:P25"/>
    <mergeCell ref="Q25:R25"/>
    <mergeCell ref="S25:T25"/>
    <mergeCell ref="U25:V25"/>
    <mergeCell ref="W25:X25"/>
    <mergeCell ref="Y25:Z25"/>
    <mergeCell ref="O8:P8"/>
    <mergeCell ref="Q8:R8"/>
    <mergeCell ref="S8:T8"/>
    <mergeCell ref="U8:V8"/>
    <mergeCell ref="W8:X8"/>
    <mergeCell ref="Y8:Z8"/>
    <mergeCell ref="AA8:AB8"/>
    <mergeCell ref="AC8:AD8"/>
    <mergeCell ref="G128:H128"/>
    <mergeCell ref="I128:J128"/>
    <mergeCell ref="K128:L128"/>
    <mergeCell ref="M128:N128"/>
    <mergeCell ref="G114:H114"/>
    <mergeCell ref="I114:J114"/>
    <mergeCell ref="K114:L114"/>
    <mergeCell ref="M114:N114"/>
    <mergeCell ref="G115:H115"/>
    <mergeCell ref="I115:J115"/>
    <mergeCell ref="K115:L115"/>
    <mergeCell ref="M115:N115"/>
    <mergeCell ref="G116:H116"/>
    <mergeCell ref="I116:J116"/>
    <mergeCell ref="K116:L116"/>
    <mergeCell ref="M116:N116"/>
    <mergeCell ref="G129:H129"/>
    <mergeCell ref="I129:J129"/>
    <mergeCell ref="K129:L129"/>
    <mergeCell ref="M129:N129"/>
    <mergeCell ref="F118:N118"/>
    <mergeCell ref="G125:H125"/>
    <mergeCell ref="I125:J125"/>
    <mergeCell ref="K125:L125"/>
    <mergeCell ref="M125:N125"/>
    <mergeCell ref="G127:H127"/>
    <mergeCell ref="I127:J127"/>
    <mergeCell ref="K127:L127"/>
    <mergeCell ref="M127:N127"/>
    <mergeCell ref="G103:H103"/>
    <mergeCell ref="I103:J103"/>
    <mergeCell ref="K103:L103"/>
    <mergeCell ref="M103:N103"/>
    <mergeCell ref="F105:N105"/>
    <mergeCell ref="G112:H112"/>
    <mergeCell ref="I112:J112"/>
    <mergeCell ref="K112:L112"/>
    <mergeCell ref="M112:N112"/>
    <mergeCell ref="G99:H99"/>
    <mergeCell ref="I99:J99"/>
    <mergeCell ref="K99:L99"/>
    <mergeCell ref="M99:N99"/>
    <mergeCell ref="G101:H101"/>
    <mergeCell ref="I101:J101"/>
    <mergeCell ref="K101:L101"/>
    <mergeCell ref="M101:N101"/>
    <mergeCell ref="G102:H102"/>
    <mergeCell ref="I102:J102"/>
    <mergeCell ref="K102:L102"/>
    <mergeCell ref="M102:N102"/>
    <mergeCell ref="G89:H89"/>
    <mergeCell ref="I89:J89"/>
    <mergeCell ref="K89:L89"/>
    <mergeCell ref="M89:N89"/>
    <mergeCell ref="G90:H90"/>
    <mergeCell ref="I90:J90"/>
    <mergeCell ref="K90:L90"/>
    <mergeCell ref="M90:N90"/>
    <mergeCell ref="F92:N92"/>
    <mergeCell ref="F79:N79"/>
    <mergeCell ref="G86:H86"/>
    <mergeCell ref="I86:J86"/>
    <mergeCell ref="K86:L86"/>
    <mergeCell ref="M86:N86"/>
    <mergeCell ref="G88:H88"/>
    <mergeCell ref="I88:J88"/>
    <mergeCell ref="K88:L88"/>
    <mergeCell ref="M88:N88"/>
    <mergeCell ref="G12:H12"/>
    <mergeCell ref="I12:J12"/>
    <mergeCell ref="K12:L12"/>
    <mergeCell ref="M12:N12"/>
    <mergeCell ref="A1:B1"/>
    <mergeCell ref="C1:D1"/>
    <mergeCell ref="M10:N10"/>
    <mergeCell ref="K10:L10"/>
    <mergeCell ref="I10:J10"/>
    <mergeCell ref="G10:H10"/>
    <mergeCell ref="G8:H8"/>
    <mergeCell ref="M8:N8"/>
    <mergeCell ref="K8:L8"/>
    <mergeCell ref="I8:J8"/>
    <mergeCell ref="I25:J25"/>
    <mergeCell ref="K25:L25"/>
    <mergeCell ref="M25:N25"/>
    <mergeCell ref="G64:H64"/>
    <mergeCell ref="I64:J64"/>
    <mergeCell ref="K64:L64"/>
    <mergeCell ref="M64:N64"/>
    <mergeCell ref="G51:H51"/>
    <mergeCell ref="I51:J51"/>
    <mergeCell ref="K51:L51"/>
    <mergeCell ref="M51:N51"/>
    <mergeCell ref="G60:H60"/>
    <mergeCell ref="I60:J60"/>
    <mergeCell ref="K60:L60"/>
    <mergeCell ref="M60:N60"/>
    <mergeCell ref="G62:H62"/>
    <mergeCell ref="I62:J62"/>
    <mergeCell ref="K62:L62"/>
    <mergeCell ref="M62:N62"/>
    <mergeCell ref="M36:N36"/>
    <mergeCell ref="G47:H47"/>
    <mergeCell ref="I47:J47"/>
    <mergeCell ref="K47:L47"/>
    <mergeCell ref="M47:N47"/>
    <mergeCell ref="G23:H23"/>
    <mergeCell ref="I23:J23"/>
    <mergeCell ref="K23:L23"/>
    <mergeCell ref="M23:N23"/>
    <mergeCell ref="G36:H36"/>
    <mergeCell ref="I36:J36"/>
    <mergeCell ref="K36:L36"/>
    <mergeCell ref="M11:N11"/>
    <mergeCell ref="K11:L11"/>
    <mergeCell ref="I11:J11"/>
    <mergeCell ref="G11:H11"/>
    <mergeCell ref="G24:H24"/>
    <mergeCell ref="I24:J24"/>
    <mergeCell ref="K24:L24"/>
    <mergeCell ref="M24:N24"/>
    <mergeCell ref="M21:N21"/>
    <mergeCell ref="K21:L21"/>
    <mergeCell ref="I21:J21"/>
    <mergeCell ref="G21:H21"/>
    <mergeCell ref="G34:H34"/>
    <mergeCell ref="I34:J34"/>
    <mergeCell ref="K34:L34"/>
    <mergeCell ref="M34:N34"/>
    <mergeCell ref="G25:H25"/>
    <mergeCell ref="M50:N50"/>
    <mergeCell ref="G63:H63"/>
    <mergeCell ref="I63:J63"/>
    <mergeCell ref="K63:L63"/>
    <mergeCell ref="M63:N63"/>
    <mergeCell ref="F27:N27"/>
    <mergeCell ref="F40:N40"/>
    <mergeCell ref="F53:N53"/>
    <mergeCell ref="G38:H38"/>
    <mergeCell ref="I38:J38"/>
    <mergeCell ref="K38:L38"/>
    <mergeCell ref="M38:N38"/>
    <mergeCell ref="G49:H49"/>
    <mergeCell ref="I49:J49"/>
    <mergeCell ref="K49:L49"/>
    <mergeCell ref="M49:N49"/>
    <mergeCell ref="G37:H37"/>
    <mergeCell ref="I37:J37"/>
    <mergeCell ref="K37:L37"/>
    <mergeCell ref="M37:N37"/>
    <mergeCell ref="G77:H77"/>
    <mergeCell ref="I77:J77"/>
    <mergeCell ref="K77:L77"/>
    <mergeCell ref="M77:N77"/>
    <mergeCell ref="G75:H75"/>
    <mergeCell ref="I75:J75"/>
    <mergeCell ref="K75:L75"/>
    <mergeCell ref="M75:N75"/>
    <mergeCell ref="G76:H76"/>
    <mergeCell ref="I76:J76"/>
    <mergeCell ref="K76:L76"/>
    <mergeCell ref="M76:N76"/>
    <mergeCell ref="F66:N66"/>
    <mergeCell ref="G73:H73"/>
    <mergeCell ref="I73:J73"/>
    <mergeCell ref="K73:L73"/>
    <mergeCell ref="M73:N73"/>
    <mergeCell ref="G50:H50"/>
    <mergeCell ref="I50:J50"/>
    <mergeCell ref="K50:L50"/>
    <mergeCell ref="F1:AD1"/>
    <mergeCell ref="F14:AD14"/>
    <mergeCell ref="O23:P23"/>
    <mergeCell ref="Q23:R23"/>
    <mergeCell ref="S23:T23"/>
    <mergeCell ref="U23:V23"/>
    <mergeCell ref="W23:X23"/>
    <mergeCell ref="Y23:Z23"/>
    <mergeCell ref="AA23:AB23"/>
    <mergeCell ref="AC23:AD23"/>
    <mergeCell ref="O24:P24"/>
    <mergeCell ref="Q24:R24"/>
    <mergeCell ref="S24:T24"/>
    <mergeCell ref="U24:V24"/>
    <mergeCell ref="W24:X24"/>
    <mergeCell ref="Y24:Z24"/>
    <mergeCell ref="AA25:AB25"/>
    <mergeCell ref="AC25:AD25"/>
    <mergeCell ref="O36:P36"/>
    <mergeCell ref="Q36:R36"/>
    <mergeCell ref="S36:T36"/>
    <mergeCell ref="U36:V36"/>
    <mergeCell ref="W36:X36"/>
    <mergeCell ref="Y36:Z36"/>
    <mergeCell ref="AA36:AB36"/>
    <mergeCell ref="AC36:AD36"/>
    <mergeCell ref="O37:P37"/>
    <mergeCell ref="Q37:R37"/>
    <mergeCell ref="S37:T37"/>
    <mergeCell ref="U37:V37"/>
    <mergeCell ref="W37:X37"/>
    <mergeCell ref="Y37:Z37"/>
    <mergeCell ref="AA37:AB37"/>
    <mergeCell ref="AC37:AD37"/>
    <mergeCell ref="O38:P38"/>
    <mergeCell ref="Q38:R38"/>
    <mergeCell ref="S38:T38"/>
    <mergeCell ref="U38:V38"/>
    <mergeCell ref="W38:X38"/>
    <mergeCell ref="Y38:Z38"/>
    <mergeCell ref="AA38:AB38"/>
    <mergeCell ref="AC38:AD3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35"/>
  <sheetViews>
    <sheetView zoomScaleNormal="100" workbookViewId="0">
      <selection activeCell="N3" sqref="N3"/>
    </sheetView>
  </sheetViews>
  <sheetFormatPr defaultColWidth="9.140625" defaultRowHeight="15"/>
  <cols>
    <col min="1" max="5" width="11.42578125" customWidth="1"/>
    <col min="6" max="12" width="11.42578125"/>
    <col min="13" max="13" width="13.42578125" bestFit="1" customWidth="1"/>
    <col min="14" max="14" width="21.85546875" bestFit="1" customWidth="1"/>
  </cols>
  <sheetData>
    <row r="1" spans="1:24" ht="16.5" thickTop="1" thickBot="1">
      <c r="A1" s="24" t="s">
        <v>20</v>
      </c>
      <c r="B1" s="22" t="s">
        <v>21</v>
      </c>
      <c r="C1" s="23" t="s">
        <v>22</v>
      </c>
      <c r="D1" s="1"/>
      <c r="E1" s="1"/>
      <c r="F1" s="1"/>
      <c r="G1" s="29"/>
      <c r="H1" s="34"/>
      <c r="I1" s="35" t="s">
        <v>20</v>
      </c>
      <c r="J1" s="35" t="s">
        <v>21</v>
      </c>
      <c r="K1" s="36" t="s">
        <v>22</v>
      </c>
      <c r="L1" s="29"/>
      <c r="M1" s="50" t="s">
        <v>23</v>
      </c>
      <c r="N1" s="51" t="s">
        <v>24</v>
      </c>
      <c r="O1" s="52" t="s">
        <v>25</v>
      </c>
      <c r="P1" s="29"/>
      <c r="Q1" s="29"/>
      <c r="R1" s="29"/>
      <c r="S1" s="29"/>
      <c r="T1" s="29"/>
      <c r="U1" s="29"/>
      <c r="V1" s="29"/>
      <c r="W1" s="29"/>
      <c r="X1" s="29"/>
    </row>
    <row r="2" spans="1:24">
      <c r="A2" s="16" t="s">
        <v>4</v>
      </c>
      <c r="B2" s="17">
        <f>+SUM(Hoja1!$G8,Hoja1!$G21,Hoja1!$G34,Hoja1!$G47,Hoja1!$G60,Hoja1!G73,Hoja1!G86,Hoja1!G99,Hoja1!G112)</f>
        <v>15</v>
      </c>
      <c r="C2" s="25">
        <f>INDEX(Hoja1!$G$1:$G$250, (COUNTIF(DATOS!$J$4:$S$4, "&gt;0")-1)*13 + 12)</f>
        <v>10</v>
      </c>
      <c r="D2" s="1">
        <f>_xlfn.RANK.EQ(B2, $B$2:$B$5) + COUNTIF($B$2:B2, B2) - 1</f>
        <v>3</v>
      </c>
      <c r="E2" s="1">
        <f>+AVERAGEIF(DATOS!C$3:C$22, "&gt;0")</f>
        <v>3</v>
      </c>
      <c r="F2" s="1"/>
      <c r="G2" s="29"/>
      <c r="H2" s="30">
        <v>1</v>
      </c>
      <c r="I2" s="31" t="str">
        <f>INDEX($A$2:$A$5, MATCH(H2, $D$2:$D$5, 0))</f>
        <v>Ema</v>
      </c>
      <c r="J2" s="31">
        <f>INDEX($B$2:$B$5, MATCH(H2, $D$2:$D$5, 0))</f>
        <v>25</v>
      </c>
      <c r="K2" s="43">
        <f>INDEX($C$2:$C$5, MATCH(H2, $D$2:$D$5, 0))</f>
        <v>40</v>
      </c>
      <c r="L2" s="29"/>
      <c r="M2" s="47">
        <f>INDEX($E$2:$E$5, MATCH(I2, $A$2:$A$5, 0))</f>
        <v>1</v>
      </c>
      <c r="N2" s="48">
        <f>J2 / (COUNTIFS(DATOS!D3:D22, "&gt;0",DATOS!$B$3:$B$22, "CARRERA 1") * 46.75)</f>
        <v>0.53475935828877008</v>
      </c>
      <c r="O2" s="49">
        <f>SUM(DATOS!D27:D46)</f>
        <v>0</v>
      </c>
      <c r="P2" s="29"/>
      <c r="Q2" s="29"/>
      <c r="R2" s="29"/>
      <c r="S2" s="29"/>
      <c r="T2" s="29"/>
      <c r="U2" s="29"/>
      <c r="V2" s="29"/>
      <c r="W2" s="29"/>
      <c r="X2" s="29"/>
    </row>
    <row r="3" spans="1:24">
      <c r="A3" s="18" t="s">
        <v>6</v>
      </c>
      <c r="B3" s="21">
        <f>+SUM(Hoja1!$I8,Hoja1!$I21,Hoja1!$I34,Hoja1!$I47,Hoja1!$I60,Hoja1!I73,Hoja1!I86,Hoja1!I99,Hoja1!I112)</f>
        <v>25</v>
      </c>
      <c r="C3" s="25">
        <f>INDEX(Hoja1!$I$1:$I$250, (COUNTIF(DATOS!$J$5:$S$5, "&gt;0")-1)*13 + 12)</f>
        <v>40</v>
      </c>
      <c r="D3" s="1">
        <f>_xlfn.RANK.EQ(B3, $B$2:$B$5) + COUNTIF($B$2:B3, B3) - 1</f>
        <v>1</v>
      </c>
      <c r="E3" s="1">
        <f>+AVERAGEIF(DATOS!D$3:D$22, "&gt;0")</f>
        <v>1</v>
      </c>
      <c r="F3" s="1"/>
      <c r="G3" s="29"/>
      <c r="H3" s="30">
        <v>2</v>
      </c>
      <c r="I3" s="31" t="str">
        <f t="shared" ref="I3:I5" si="0">INDEX($A$2:$A$5, MATCH(H3, $D$2:$D$5, 0))</f>
        <v>JuanF</v>
      </c>
      <c r="J3" s="31">
        <f t="shared" ref="J3:J5" si="1">INDEX($B$2:$B$5, MATCH(H3, $D$2:$D$5, 0))</f>
        <v>18</v>
      </c>
      <c r="K3" s="43">
        <f t="shared" ref="K3:K5" si="2">INDEX($C$2:$C$5, MATCH(H3, $D$2:$D$5, 0))</f>
        <v>20</v>
      </c>
      <c r="L3" s="29"/>
      <c r="M3" s="45">
        <f>INDEX($E$2:$E$5, MATCH(I3, $A$2:$A$5, 0))</f>
        <v>2</v>
      </c>
      <c r="N3" s="39">
        <f>J3 / (COUNTIFS(DATOS!D3:D22, "&gt;0",DATOS!$B$3:$B$22, "CARRERA 1") * 46.75)</f>
        <v>0.38502673796791442</v>
      </c>
      <c r="O3" s="41">
        <f>+SUM(DATOS!C27:C46)</f>
        <v>0</v>
      </c>
      <c r="P3" s="29"/>
      <c r="Q3" s="29"/>
      <c r="R3" s="29"/>
      <c r="S3" s="29"/>
      <c r="T3" s="29"/>
      <c r="U3" s="29"/>
      <c r="V3" s="29"/>
      <c r="W3" s="29"/>
      <c r="X3" s="29"/>
    </row>
    <row r="4" spans="1:24">
      <c r="A4" s="18" t="s">
        <v>7</v>
      </c>
      <c r="B4" s="21">
        <f>+SUM(Hoja1!K8,Hoja1!K21,Hoja1!K34,Hoja1!K47,Hoja1!K60,Hoja1!K73,Hoja1!K86,Hoja1!K99,,Hoja1!K112)</f>
        <v>18</v>
      </c>
      <c r="C4" s="25">
        <f>INDEX(Hoja1!$K$1:$K$250, (COUNTIF(DATOS!$J$6:$S$6, "&gt;0")-1)*13 + 12)</f>
        <v>20</v>
      </c>
      <c r="D4" s="1">
        <f>_xlfn.RANK.EQ(B4, $B$2:$B$5) + COUNTIF($B$2:B4, B4) - 1</f>
        <v>2</v>
      </c>
      <c r="E4" s="1">
        <f>+AVERAGEIF(DATOS!E$3:E$22, "&gt;0")</f>
        <v>2</v>
      </c>
      <c r="F4" s="1"/>
      <c r="G4" s="29"/>
      <c r="H4" s="30">
        <v>3</v>
      </c>
      <c r="I4" s="31" t="str">
        <f t="shared" si="0"/>
        <v>Agus</v>
      </c>
      <c r="J4" s="31">
        <f t="shared" si="1"/>
        <v>15</v>
      </c>
      <c r="K4" s="43">
        <f t="shared" si="2"/>
        <v>10</v>
      </c>
      <c r="L4" s="1"/>
      <c r="M4" s="45">
        <f>INDEX($E$2:$E$5, MATCH(I4, $A$2:$A$5, 0))</f>
        <v>3</v>
      </c>
      <c r="N4" s="39">
        <f>J4 / (COUNTIFS(DATOS!E3:E22, "&gt;0",DATOS!$B$3:$B$22, "CARRERA 1") * 46.75)</f>
        <v>0.32085561497326204</v>
      </c>
      <c r="O4" s="41">
        <f>+SUM(DATOS!E27:E46)</f>
        <v>0</v>
      </c>
      <c r="P4" s="29"/>
      <c r="Q4" s="29"/>
      <c r="R4" s="29"/>
      <c r="S4" s="29"/>
      <c r="T4" s="29"/>
      <c r="U4" s="29"/>
      <c r="V4" s="29"/>
      <c r="W4" s="29"/>
      <c r="X4" s="29"/>
    </row>
    <row r="5" spans="1:24">
      <c r="A5" s="19" t="s">
        <v>8</v>
      </c>
      <c r="B5" s="20">
        <f>+SUM(Hoja1!M8,Hoja1!M21,Hoja1!M34,Hoja1!M47,Hoja1!M60,Hoja1!M73,Hoja1!M86,Hoja1!M99,,Hoja1!M112)</f>
        <v>13</v>
      </c>
      <c r="C5" s="26">
        <f>INDEX(Hoja1!$M$1:$M$250, (COUNTIF(DATOS!$J$7:$S$7, "&gt;0")-1)*13 + 12)</f>
        <v>0</v>
      </c>
      <c r="D5" s="1">
        <f>_xlfn.RANK.EQ(B5, $B$2:$B$5) + COUNTIF($B$2:B5, B5) - 1</f>
        <v>4</v>
      </c>
      <c r="E5" s="1">
        <f>+AVERAGEIF(DATOS!F$3:F$22, "&gt;0")</f>
        <v>4</v>
      </c>
      <c r="F5" s="1"/>
      <c r="G5" s="29"/>
      <c r="H5" s="30">
        <v>4</v>
      </c>
      <c r="I5" s="31" t="str">
        <f t="shared" si="0"/>
        <v>Adri</v>
      </c>
      <c r="J5" s="31">
        <f t="shared" si="1"/>
        <v>13</v>
      </c>
      <c r="K5" s="43">
        <f t="shared" si="2"/>
        <v>0</v>
      </c>
      <c r="L5" s="29"/>
      <c r="M5" s="46">
        <f>INDEX($E$2:$E$5, MATCH(I5, $A$2:$A$5, 0))</f>
        <v>4</v>
      </c>
      <c r="N5" s="40">
        <f>J5 / (COUNTIFS(DATOS!F3:F22, "&gt;0",DATOS!$B$3:$B$22, "CARRERA 1") * 46.75)</f>
        <v>0.27807486631016043</v>
      </c>
      <c r="O5" s="42">
        <f>+SUM(DATOS!F27:F46)</f>
        <v>1</v>
      </c>
      <c r="P5" s="29"/>
      <c r="Q5" s="29"/>
      <c r="R5" s="29"/>
      <c r="S5" s="29"/>
      <c r="T5" s="29"/>
      <c r="U5" s="29"/>
      <c r="V5" s="29"/>
      <c r="W5" s="29"/>
      <c r="X5" s="29"/>
    </row>
    <row r="6" spans="1:24">
      <c r="A6" s="16" t="s">
        <v>4</v>
      </c>
      <c r="B6" s="17">
        <f>+SUM(Hoja1!$G12,Hoja1!$G25,Hoja1!$G38,Hoja1!$G51,Hoja1!$G64,Hoja1!G77,Hoja1!G90,Hoja1!G103,Hoja1!G116)</f>
        <v>10</v>
      </c>
      <c r="C6" s="25">
        <f>INDEX(Hoja1!$G$1:$G$250, (COUNTIF(DATOS!$J$4:$S$4, "&gt;0")-1)*13 + 12)</f>
        <v>10</v>
      </c>
      <c r="D6" s="1"/>
      <c r="E6" s="1"/>
      <c r="F6" s="1"/>
      <c r="G6" s="29"/>
      <c r="H6" s="30">
        <v>5</v>
      </c>
      <c r="I6" s="31" t="e">
        <f t="shared" ref="I6:I15" si="3">INDEX($A$2:$A$5, MATCH(H6, $D$2:$D$5, 0))</f>
        <v>#N/A</v>
      </c>
      <c r="J6" s="31" t="e">
        <f t="shared" ref="J6:J15" si="4">INDEX($B$2:$B$5, MATCH(H6, $D$2:$D$5, 0))</f>
        <v>#N/A</v>
      </c>
      <c r="K6" s="43" t="e">
        <f t="shared" ref="K6:K15" si="5">INDEX($C$2:$C$5, MATCH(H6, $D$2:$D$5, 0))</f>
        <v>#N/A</v>
      </c>
      <c r="L6" s="29"/>
      <c r="M6" s="29"/>
      <c r="N6" s="38"/>
      <c r="O6" s="29"/>
      <c r="P6" s="29"/>
      <c r="Q6" s="29"/>
      <c r="R6" s="29"/>
      <c r="S6" s="29"/>
      <c r="T6" s="29"/>
      <c r="U6" s="29"/>
      <c r="V6" s="29"/>
      <c r="W6" s="29"/>
      <c r="X6" s="29"/>
    </row>
    <row r="7" spans="1:24">
      <c r="A7" s="18" t="s">
        <v>6</v>
      </c>
      <c r="B7" s="21">
        <f>+SUM(Hoja1!$I12,Hoja1!$I25,Hoja1!$I38,Hoja1!$I51,Hoja1!$I64,Hoja1!I77,Hoja1!I90,Hoja1!I103,Hoja1!I116)</f>
        <v>40</v>
      </c>
      <c r="C7" s="25">
        <f>INDEX(Hoja1!$I$1:$I$250, (COUNTIF(DATOS!$J$5:$S$5, "&gt;0")-1)*13 + 12)</f>
        <v>40</v>
      </c>
      <c r="D7" s="1"/>
      <c r="E7" s="1"/>
      <c r="F7" s="1"/>
      <c r="G7" s="29"/>
      <c r="H7" s="30">
        <v>6</v>
      </c>
      <c r="I7" s="31" t="e">
        <f t="shared" si="3"/>
        <v>#N/A</v>
      </c>
      <c r="J7" s="31" t="e">
        <f t="shared" si="4"/>
        <v>#N/A</v>
      </c>
      <c r="K7" s="43" t="e">
        <f t="shared" si="5"/>
        <v>#N/A</v>
      </c>
      <c r="L7" s="29"/>
      <c r="M7" s="29"/>
      <c r="N7" s="29" t="s">
        <v>26</v>
      </c>
      <c r="O7" s="29"/>
      <c r="P7" s="29"/>
      <c r="Q7" s="29"/>
      <c r="R7" s="29"/>
      <c r="S7" s="29"/>
      <c r="T7" s="29"/>
      <c r="U7" s="29"/>
      <c r="V7" s="29"/>
      <c r="W7" s="29"/>
      <c r="X7" s="29"/>
    </row>
    <row r="8" spans="1:24">
      <c r="A8" s="18" t="s">
        <v>7</v>
      </c>
      <c r="B8" s="21">
        <f>+SUM(Hoja1!K12,Hoja1!K25,Hoja1!K38,Hoja1!K51,Hoja1!K64,Hoja1!K77,Hoja1!K90,Hoja1!K103,,Hoja1!K116)</f>
        <v>20</v>
      </c>
      <c r="C8" s="25">
        <f>INDEX(Hoja1!$K$1:$K$250, (COUNTIF(DATOS!$J$6:$S$6, "&gt;0")-1)*13 + 12)</f>
        <v>20</v>
      </c>
      <c r="D8" s="1"/>
      <c r="E8" s="1"/>
      <c r="F8" s="1"/>
      <c r="G8" s="29"/>
      <c r="H8" s="30">
        <v>7</v>
      </c>
      <c r="I8" s="31" t="e">
        <f t="shared" si="3"/>
        <v>#N/A</v>
      </c>
      <c r="J8" s="31" t="e">
        <f t="shared" si="4"/>
        <v>#N/A</v>
      </c>
      <c r="K8" s="43" t="e">
        <f t="shared" si="5"/>
        <v>#N/A</v>
      </c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>
      <c r="A9" s="19" t="s">
        <v>8</v>
      </c>
      <c r="B9" s="20">
        <f>+SUM(Hoja1!M12,Hoja1!M25,Hoja1!M38,Hoja1!M51,Hoja1!M64,Hoja1!M77,Hoja1!M90,Hoja1!M103,,Hoja1!M116)</f>
        <v>0</v>
      </c>
      <c r="C9" s="26">
        <f>INDEX(Hoja1!$M$1:$M$250, (COUNTIF(DATOS!$J$7:$S$7, "&gt;0")-1)*13 + 12)</f>
        <v>0</v>
      </c>
      <c r="D9" s="1"/>
      <c r="E9" s="1"/>
      <c r="F9" s="1"/>
      <c r="G9" s="29"/>
      <c r="H9" s="30">
        <v>8</v>
      </c>
      <c r="I9" s="31" t="e">
        <f t="shared" si="3"/>
        <v>#N/A</v>
      </c>
      <c r="J9" s="31" t="e">
        <f t="shared" si="4"/>
        <v>#N/A</v>
      </c>
      <c r="K9" s="43" t="e">
        <f t="shared" si="5"/>
        <v>#N/A</v>
      </c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</row>
    <row r="10" spans="1:24">
      <c r="A10" s="16" t="s">
        <v>4</v>
      </c>
      <c r="B10" s="17">
        <f>+SUM(Hoja1!$G16,Hoja1!$G29,Hoja1!$G42,Hoja1!$G55,Hoja1!$G68,Hoja1!G81,Hoja1!G94,Hoja1!G107,Hoja1!G120)</f>
        <v>0</v>
      </c>
      <c r="C10" s="25">
        <f>INDEX(Hoja1!$G$1:$G$250, (COUNTIF(DATOS!$J$4:$S$4, "&gt;0")-1)*13 + 12)</f>
        <v>10</v>
      </c>
      <c r="D10" s="1"/>
      <c r="E10" s="1"/>
      <c r="F10" s="1"/>
      <c r="G10" s="29"/>
      <c r="H10" s="30">
        <v>9</v>
      </c>
      <c r="I10" s="31" t="e">
        <f t="shared" si="3"/>
        <v>#N/A</v>
      </c>
      <c r="J10" s="31" t="e">
        <f t="shared" si="4"/>
        <v>#N/A</v>
      </c>
      <c r="K10" s="43" t="e">
        <f t="shared" si="5"/>
        <v>#N/A</v>
      </c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</row>
    <row r="11" spans="1:24">
      <c r="A11" s="18" t="s">
        <v>6</v>
      </c>
      <c r="B11" s="21">
        <f>+SUM(Hoja1!$I16,Hoja1!$I29,Hoja1!$I42,Hoja1!$I55,Hoja1!$I68,Hoja1!I81,Hoja1!I94,Hoja1!I107,Hoja1!I120)</f>
        <v>0</v>
      </c>
      <c r="C11" s="25">
        <f>INDEX(Hoja1!$I$1:$I$250, (COUNTIF(DATOS!$J$5:$S$5, "&gt;0")-1)*13 + 12)</f>
        <v>40</v>
      </c>
      <c r="D11" s="1"/>
      <c r="E11" s="1"/>
      <c r="F11" s="1"/>
      <c r="G11" s="29"/>
      <c r="H11" s="30">
        <v>10</v>
      </c>
      <c r="I11" s="31" t="e">
        <f t="shared" si="3"/>
        <v>#N/A</v>
      </c>
      <c r="J11" s="31" t="e">
        <f t="shared" si="4"/>
        <v>#N/A</v>
      </c>
      <c r="K11" s="43" t="e">
        <f t="shared" si="5"/>
        <v>#N/A</v>
      </c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>
      <c r="A12" s="18" t="s">
        <v>7</v>
      </c>
      <c r="B12" s="21">
        <f>+SUM(Hoja1!K16,Hoja1!K29,Hoja1!K42,Hoja1!K55,Hoja1!K68,Hoja1!K81,Hoja1!K94,Hoja1!K107,,Hoja1!K120)</f>
        <v>0</v>
      </c>
      <c r="C12" s="25">
        <f>INDEX(Hoja1!$K$1:$K$250, (COUNTIF(DATOS!$J$6:$S$6, "&gt;0")-1)*13 + 12)</f>
        <v>20</v>
      </c>
      <c r="D12" s="1"/>
      <c r="E12" s="1"/>
      <c r="F12" s="1"/>
      <c r="G12" s="29"/>
      <c r="H12" s="30">
        <v>11</v>
      </c>
      <c r="I12" s="31" t="e">
        <f t="shared" si="3"/>
        <v>#N/A</v>
      </c>
      <c r="J12" s="31" t="e">
        <f t="shared" si="4"/>
        <v>#N/A</v>
      </c>
      <c r="K12" s="43" t="e">
        <f t="shared" si="5"/>
        <v>#N/A</v>
      </c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</row>
    <row r="13" spans="1:24">
      <c r="A13" s="19"/>
      <c r="B13" s="20"/>
      <c r="C13" s="26"/>
      <c r="D13" s="1"/>
      <c r="E13" s="1"/>
      <c r="F13" s="1"/>
      <c r="G13" s="29"/>
      <c r="H13" s="30">
        <v>12</v>
      </c>
      <c r="I13" s="31" t="e">
        <f t="shared" si="3"/>
        <v>#N/A</v>
      </c>
      <c r="J13" s="31" t="e">
        <f t="shared" si="4"/>
        <v>#N/A</v>
      </c>
      <c r="K13" s="43" t="e">
        <f t="shared" si="5"/>
        <v>#N/A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</row>
    <row r="14" spans="1:24">
      <c r="A14" s="16"/>
      <c r="B14" s="17"/>
      <c r="C14" s="25"/>
      <c r="D14" s="1"/>
      <c r="E14" s="1"/>
      <c r="F14" s="1"/>
      <c r="G14" s="29"/>
      <c r="H14" s="30">
        <v>13</v>
      </c>
      <c r="I14" s="31" t="e">
        <f t="shared" si="3"/>
        <v>#N/A</v>
      </c>
      <c r="J14" s="31" t="e">
        <f t="shared" si="4"/>
        <v>#N/A</v>
      </c>
      <c r="K14" s="43" t="e">
        <f t="shared" si="5"/>
        <v>#N/A</v>
      </c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</row>
    <row r="15" spans="1:24">
      <c r="A15" s="18"/>
      <c r="B15" s="21"/>
      <c r="C15" s="25"/>
      <c r="D15" s="1"/>
      <c r="E15" s="1"/>
      <c r="F15" s="1"/>
      <c r="G15" s="29"/>
      <c r="H15" s="32">
        <v>14</v>
      </c>
      <c r="I15" s="33" t="e">
        <f t="shared" si="3"/>
        <v>#N/A</v>
      </c>
      <c r="J15" s="33" t="e">
        <f t="shared" si="4"/>
        <v>#N/A</v>
      </c>
      <c r="K15" s="44" t="e">
        <f t="shared" si="5"/>
        <v>#N/A</v>
      </c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</row>
    <row r="16" spans="1:24">
      <c r="A16" s="1"/>
      <c r="B16" s="1"/>
      <c r="C16" s="1"/>
      <c r="D16" s="1"/>
      <c r="E16" s="1"/>
      <c r="F16" s="1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</row>
    <row r="17" spans="7:24"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</row>
    <row r="18" spans="7:24"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</row>
    <row r="19" spans="7:24"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</row>
    <row r="20" spans="7:24"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</row>
    <row r="21" spans="7:24"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</row>
    <row r="22" spans="7:24"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</row>
    <row r="23" spans="7:24"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1"/>
      <c r="R23" s="1"/>
      <c r="S23" s="1"/>
      <c r="T23" s="1"/>
      <c r="U23" s="1"/>
      <c r="V23" s="1"/>
      <c r="W23" s="1"/>
      <c r="X23" s="1"/>
    </row>
    <row r="24" spans="7:24"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1"/>
      <c r="R24" s="1"/>
      <c r="S24" s="1"/>
      <c r="T24" s="1"/>
      <c r="U24" s="1"/>
      <c r="V24" s="1"/>
      <c r="W24" s="1"/>
      <c r="X24" s="1"/>
    </row>
    <row r="25" spans="7:24"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1"/>
      <c r="R25" s="1"/>
      <c r="S25" s="1"/>
      <c r="T25" s="1"/>
      <c r="U25" s="1"/>
      <c r="V25" s="1"/>
      <c r="W25" s="1"/>
      <c r="X25" s="1"/>
    </row>
    <row r="26" spans="7:24"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1"/>
      <c r="R26" s="1"/>
      <c r="S26" s="1"/>
      <c r="T26" s="1"/>
      <c r="U26" s="1"/>
      <c r="V26" s="1"/>
      <c r="W26" s="1"/>
      <c r="X26" s="1"/>
    </row>
    <row r="27" spans="7:24"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1"/>
      <c r="R27" s="1"/>
      <c r="S27" s="1"/>
      <c r="T27" s="1"/>
      <c r="U27" s="1"/>
      <c r="V27" s="1"/>
      <c r="W27" s="1"/>
      <c r="X27" s="1"/>
    </row>
    <row r="28" spans="7:24"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1"/>
      <c r="R28" s="1"/>
      <c r="S28" s="1"/>
      <c r="T28" s="1"/>
      <c r="U28" s="1"/>
      <c r="V28" s="1"/>
      <c r="W28" s="1"/>
      <c r="X28" s="1"/>
    </row>
    <row r="29" spans="7:24"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1"/>
      <c r="R29" s="1"/>
      <c r="S29" s="1"/>
      <c r="T29" s="1"/>
      <c r="U29" s="1"/>
      <c r="V29" s="1"/>
      <c r="W29" s="1"/>
      <c r="X29" s="1"/>
    </row>
    <row r="30" spans="7:24"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1"/>
      <c r="R30" s="1"/>
      <c r="S30" s="1"/>
      <c r="T30" s="1"/>
      <c r="U30" s="1"/>
      <c r="V30" s="1"/>
      <c r="W30" s="1"/>
      <c r="X30" s="1"/>
    </row>
    <row r="31" spans="7:24"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1"/>
      <c r="R31" s="1"/>
      <c r="S31" s="1"/>
      <c r="T31" s="1"/>
      <c r="U31" s="1"/>
      <c r="V31" s="1"/>
      <c r="W31" s="1"/>
      <c r="X31" s="1"/>
    </row>
    <row r="32" spans="7:24"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1"/>
      <c r="R32" s="1"/>
      <c r="S32" s="1"/>
      <c r="T32" s="1"/>
      <c r="U32" s="1"/>
      <c r="V32" s="1"/>
      <c r="W32" s="1"/>
      <c r="X32" s="1"/>
    </row>
    <row r="33" spans="7:16">
      <c r="G33" s="29"/>
      <c r="H33" s="29"/>
      <c r="I33" s="29"/>
      <c r="J33" s="29"/>
      <c r="K33" s="29"/>
      <c r="L33" s="29"/>
      <c r="M33" s="29"/>
      <c r="N33" s="29"/>
      <c r="O33" s="29"/>
      <c r="P33" s="29"/>
    </row>
    <row r="34" spans="7:16">
      <c r="G34" s="29"/>
      <c r="H34" s="29"/>
      <c r="I34" s="29"/>
      <c r="J34" s="29"/>
      <c r="K34" s="29"/>
      <c r="L34" s="29"/>
      <c r="M34" s="29"/>
      <c r="N34" s="29"/>
      <c r="O34" s="29"/>
      <c r="P34" s="29"/>
    </row>
    <row r="35" spans="7:16">
      <c r="G35" s="29"/>
      <c r="H35" s="29"/>
      <c r="I35" s="29"/>
      <c r="J35" s="29"/>
      <c r="K35" s="29"/>
      <c r="L35" s="29"/>
      <c r="M35" s="29"/>
      <c r="N35" s="29"/>
      <c r="O35" s="29"/>
      <c r="P35" s="29"/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7"/>
  <sheetViews>
    <sheetView zoomScaleNormal="100" workbookViewId="0">
      <selection activeCell="C2" sqref="C2"/>
    </sheetView>
  </sheetViews>
  <sheetFormatPr defaultColWidth="11.42578125" defaultRowHeight="15"/>
  <cols>
    <col min="13" max="13" width="11.85546875" bestFit="1" customWidth="1"/>
  </cols>
  <sheetData>
    <row r="1" spans="1:19">
      <c r="A1" s="2"/>
      <c r="B1" s="2"/>
      <c r="C1" s="2"/>
      <c r="D1" s="2"/>
      <c r="E1" s="2"/>
      <c r="F1" s="2"/>
      <c r="G1" s="1"/>
      <c r="H1" s="1"/>
      <c r="I1" s="117" t="s">
        <v>27</v>
      </c>
      <c r="J1" s="117"/>
      <c r="K1" s="117"/>
      <c r="L1" s="117"/>
      <c r="M1" s="117"/>
      <c r="N1" s="117"/>
      <c r="O1" s="117"/>
      <c r="P1" s="117"/>
      <c r="Q1" s="117"/>
      <c r="R1" s="117"/>
      <c r="S1" s="117"/>
    </row>
    <row r="2" spans="1:19">
      <c r="A2" s="110" t="s">
        <v>28</v>
      </c>
      <c r="B2" s="110"/>
      <c r="C2" s="1" t="s">
        <v>4</v>
      </c>
      <c r="D2" s="1" t="s">
        <v>6</v>
      </c>
      <c r="E2" s="1" t="s">
        <v>7</v>
      </c>
      <c r="F2" s="1" t="s">
        <v>8</v>
      </c>
      <c r="G2" s="1"/>
      <c r="H2" s="1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</row>
    <row r="3" spans="1:19">
      <c r="A3" s="116" t="s">
        <v>29</v>
      </c>
      <c r="B3" s="1" t="s">
        <v>30</v>
      </c>
      <c r="C3" s="1">
        <f>Hoja1!G3</f>
        <v>3</v>
      </c>
      <c r="D3" s="1">
        <f>Hoja1!$I3</f>
        <v>1</v>
      </c>
      <c r="E3" s="1">
        <f>Hoja1!K3</f>
        <v>2</v>
      </c>
      <c r="F3" s="1">
        <f>Hoja1!M3</f>
        <v>4</v>
      </c>
      <c r="G3" s="1"/>
      <c r="H3" s="1"/>
      <c r="I3" s="1"/>
      <c r="J3" s="1" t="s">
        <v>31</v>
      </c>
      <c r="K3" s="1" t="s">
        <v>32</v>
      </c>
      <c r="L3" s="1" t="s">
        <v>33</v>
      </c>
      <c r="M3" s="1" t="s">
        <v>34</v>
      </c>
      <c r="N3" s="1" t="s">
        <v>35</v>
      </c>
      <c r="O3" s="1" t="s">
        <v>36</v>
      </c>
      <c r="P3" s="1" t="s">
        <v>37</v>
      </c>
      <c r="Q3" s="1" t="s">
        <v>38</v>
      </c>
      <c r="R3" s="1" t="s">
        <v>39</v>
      </c>
      <c r="S3" s="1" t="s">
        <v>40</v>
      </c>
    </row>
    <row r="4" spans="1:19">
      <c r="A4" s="116"/>
      <c r="B4" s="1" t="s">
        <v>41</v>
      </c>
      <c r="C4" s="1">
        <f>Hoja1!G4</f>
        <v>0</v>
      </c>
      <c r="D4" s="1">
        <f>Hoja1!$I4</f>
        <v>0</v>
      </c>
      <c r="E4" s="1">
        <f>Hoja1!K4</f>
        <v>0</v>
      </c>
      <c r="F4" s="1">
        <f>Hoja1!M4</f>
        <v>0</v>
      </c>
      <c r="G4" s="1"/>
      <c r="H4" s="1"/>
      <c r="I4" s="1" t="s">
        <v>42</v>
      </c>
      <c r="J4" s="1">
        <f>IF(INDEX(Hoja1!$G$1:$G$250, (COLUMN(A1)-1)*13 + 10)=0, NA(), INDEX(Hoja1!$G$1:$G$250, (COLUMN(A1)-1)*13 + 10))</f>
        <v>15</v>
      </c>
      <c r="K4" s="1" t="e">
        <f>IF(INDEX(Hoja1!$G$1:$G$250, (COLUMN(B1)-1)*13 + 10)=0, NA(), INDEX(Hoja1!$G$1:$G$250, (COLUMN(B1)-1)*13 + 10))</f>
        <v>#N/A</v>
      </c>
      <c r="L4" s="1" t="e">
        <f>IF(INDEX(Hoja1!$G$1:$G$250, (COLUMN(C1)-1)*13 + 10)=0, NA(), INDEX(Hoja1!$G$1:$G$250, (COLUMN(C1)-1)*13 + 10))</f>
        <v>#N/A</v>
      </c>
      <c r="M4" s="1" t="e">
        <f>IF(INDEX(Hoja1!$G$1:$G$250, (COLUMN(D1)-1)*13 + 10)=0, NA(), INDEX(Hoja1!$G$1:$G$250, (COLUMN(D1)-1)*13 + 10))</f>
        <v>#N/A</v>
      </c>
      <c r="N4" s="1" t="e">
        <f>IF(INDEX(Hoja1!$G$1:$G$250, (COLUMN(E1)-1)*13 + 10)=0, NA(), INDEX(Hoja1!$G$1:$G$250, (COLUMN(E1)-1)*13 + 10))</f>
        <v>#N/A</v>
      </c>
      <c r="O4" s="1" t="e">
        <f>IF(INDEX(Hoja1!$G$1:$G$250, (COLUMN(F1)-1)*13 + 10)=0, NA(), INDEX(Hoja1!$G$1:$G$250, (COLUMN(F1)-1)*13 + 10))</f>
        <v>#N/A</v>
      </c>
      <c r="P4" s="1" t="e">
        <f>IF(INDEX(Hoja1!$G$1:$G$250, (COLUMN(G1)-1)*13 + 10)=0, NA(), INDEX(Hoja1!$G$1:$G$250, (COLUMN(G1)-1)*13 + 10))</f>
        <v>#N/A</v>
      </c>
      <c r="Q4" s="1" t="e">
        <f>IF(INDEX(Hoja1!$G$1:$G$250, (COLUMN(H1)-1)*13 + 10)=0, NA(), INDEX(Hoja1!$G$1:$G$250, (COLUMN(H1)-1)*13 + 10))</f>
        <v>#N/A</v>
      </c>
      <c r="R4" s="1" t="e">
        <f>IF(INDEX(Hoja1!$G$1:$G$250, (COLUMN(I1)-1)*13 + 10)=0, NA(), INDEX(Hoja1!$G$1:$G$250, (COLUMN(I1)-1)*13 + 10))</f>
        <v>#N/A</v>
      </c>
      <c r="S4" s="1" t="e">
        <f>IF(INDEX(Hoja1!$G$1:$G$250, (COLUMN(J1)-1)*13 + 10)=0, NA(), INDEX(Hoja1!$G$1:$G$250, (COLUMN(J1)-1)*13 + 10))</f>
        <v>#N/A</v>
      </c>
    </row>
    <row r="5" spans="1:19">
      <c r="A5" s="116"/>
      <c r="B5" s="1" t="s">
        <v>30</v>
      </c>
      <c r="C5" s="1">
        <f>Hoja1!G16</f>
        <v>0</v>
      </c>
      <c r="D5" s="1">
        <f>Hoja1!I16</f>
        <v>0</v>
      </c>
      <c r="E5" s="1">
        <f>Hoja1!K16</f>
        <v>0</v>
      </c>
      <c r="F5" s="1">
        <f>Hoja1!M16</f>
        <v>0</v>
      </c>
      <c r="G5" s="1"/>
      <c r="H5" s="1"/>
      <c r="I5" s="1" t="s">
        <v>43</v>
      </c>
      <c r="J5" s="1">
        <f>IF(INDEX(Hoja1!$I$1:$I$250, (COLUMN(A1)-1)*13 + 10)=0, NA(), INDEX(Hoja1!$I$1:$I$250, (COLUMN(A1)-1)*13 + 10))</f>
        <v>25</v>
      </c>
      <c r="K5" s="1" t="e">
        <f>IF(INDEX(Hoja1!$I$1:$I$250, (COLUMN(B1)-1)*13 + 10)=0, NA(), INDEX(Hoja1!$I$1:$I$250, (COLUMN(B1)-1)*13 + 10))</f>
        <v>#N/A</v>
      </c>
      <c r="L5" s="1" t="e">
        <f>IF(INDEX(Hoja1!$I$1:$I$250, (COLUMN(C1)-1)*13 + 10)=0, NA(), INDEX(Hoja1!$I$1:$I$250, (COLUMN(C1)-1)*13 + 10))</f>
        <v>#N/A</v>
      </c>
      <c r="M5" s="1" t="e">
        <f>IF(INDEX(Hoja1!$I$1:$I$250, (COLUMN(D1)-1)*13 + 10)=0, NA(), INDEX(Hoja1!$I$1:$I$250, (COLUMN(D1)-1)*13 + 10))</f>
        <v>#N/A</v>
      </c>
      <c r="N5" s="1" t="e">
        <f>IF(INDEX(Hoja1!$I$1:$I$250, (COLUMN(E1)-1)*13 + 10)=0, NA(), INDEX(Hoja1!$I$1:$I$250, (COLUMN(E1)-1)*13 + 10))</f>
        <v>#N/A</v>
      </c>
      <c r="O5" s="1" t="e">
        <f>IF(INDEX(Hoja1!$I$1:$I$250, (COLUMN(F1)-1)*13 + 10)=0, NA(), INDEX(Hoja1!$I$1:$I$250, (COLUMN(F1)-1)*13 + 10))</f>
        <v>#N/A</v>
      </c>
      <c r="P5" s="1" t="e">
        <f>IF(INDEX(Hoja1!$I$1:$I$250, (COLUMN(G1)-1)*13 + 10)=0, NA(), INDEX(Hoja1!$I$1:$I$250, (COLUMN(G1)-1)*13 + 10))</f>
        <v>#N/A</v>
      </c>
      <c r="Q5" s="1" t="e">
        <f>IF(INDEX(Hoja1!$I$1:$I$250, (COLUMN(H1)-1)*13 + 10)=0, NA(), INDEX(Hoja1!$I$1:$I$250, (COLUMN(H1)-1)*13 + 10))</f>
        <v>#N/A</v>
      </c>
      <c r="R5" s="1" t="e">
        <f>IF(INDEX(Hoja1!$I$1:$I$250, (COLUMN(I1)-1)*13 + 10)=0, NA(), INDEX(Hoja1!$I$1:$I$250, (COLUMN(I1)-1)*13 + 10))</f>
        <v>#N/A</v>
      </c>
      <c r="S5" s="1" t="e">
        <f>IF(INDEX(Hoja1!$I$1:$I$250, (COLUMN(J1)-1)*13 + 10)=0, NA(), INDEX(Hoja1!$I$1:$I$250, (COLUMN(J1)-1)*13 + 10))</f>
        <v>#N/A</v>
      </c>
    </row>
    <row r="6" spans="1:19">
      <c r="A6" s="116"/>
      <c r="B6" s="1" t="s">
        <v>41</v>
      </c>
      <c r="C6" s="1">
        <f>Hoja1!G17</f>
        <v>0</v>
      </c>
      <c r="D6" s="1">
        <f>Hoja1!I17</f>
        <v>0</v>
      </c>
      <c r="E6" s="1">
        <f>Hoja1!K17</f>
        <v>0</v>
      </c>
      <c r="F6" s="1">
        <f>Hoja1!M17</f>
        <v>0</v>
      </c>
      <c r="G6" s="1"/>
      <c r="H6" s="1"/>
      <c r="I6" s="1" t="s">
        <v>44</v>
      </c>
      <c r="J6" s="1">
        <f>IF(INDEX(Hoja1!$K$1:$K$250, (COLUMN(A1)-1)*13 + 10)=0, NA(), INDEX(Hoja1!$K$1:$K$250, (COLUMN(A1)-1)*13 + 10))</f>
        <v>18</v>
      </c>
      <c r="K6" s="1" t="e">
        <f>IF(INDEX(Hoja1!$K$1:$K$250, (COLUMN(B1)-1)*13 + 10)=0, NA(), INDEX(Hoja1!$K$1:$K$250, (COLUMN(B1)-1)*13 + 10))</f>
        <v>#N/A</v>
      </c>
      <c r="L6" s="1" t="e">
        <f>IF(INDEX(Hoja1!$K$1:$K$250, (COLUMN(C1)-1)*13 + 10)=0, NA(), INDEX(Hoja1!$K$1:$K$250, (COLUMN(C1)-1)*13 + 10))</f>
        <v>#N/A</v>
      </c>
      <c r="M6" s="1" t="e">
        <f>IF(INDEX(Hoja1!$K$1:$K$250, (COLUMN(D1)-1)*13 + 10)=0, NA(), INDEX(Hoja1!$K$1:$K$250, (COLUMN(D1)-1)*13 + 10))</f>
        <v>#N/A</v>
      </c>
      <c r="N6" s="1" t="e">
        <f>IF(INDEX(Hoja1!$K$1:$K$250, (COLUMN(E1)-1)*13 + 10)=0, NA(), INDEX(Hoja1!$K$1:$K$250, (COLUMN(E1)-1)*13 + 10))</f>
        <v>#N/A</v>
      </c>
      <c r="O6" s="1" t="e">
        <f>IF(INDEX(Hoja1!$K$1:$K$250, (COLUMN(F1)-1)*13 + 10)=0, NA(), INDEX(Hoja1!$K$1:$K$250, (COLUMN(F1)-1)*13 + 10))</f>
        <v>#N/A</v>
      </c>
      <c r="P6" s="1" t="e">
        <f>IF(INDEX(Hoja1!$K$1:$K$250, (COLUMN(G1)-1)*13 + 10)=0, NA(), INDEX(Hoja1!$K$1:$K$250, (COLUMN(G1)-1)*13 + 10))</f>
        <v>#N/A</v>
      </c>
      <c r="Q6" s="1" t="e">
        <f>IF(INDEX(Hoja1!$K$1:$K$250, (COLUMN(H1)-1)*13 + 10)=0, NA(), INDEX(Hoja1!$K$1:$K$250, (COLUMN(H1)-1)*13 + 10))</f>
        <v>#N/A</v>
      </c>
      <c r="R6" s="1" t="e">
        <f>IF(INDEX(Hoja1!$K$1:$K$250, (COLUMN(I1)-1)*13 + 10)=0, NA(), INDEX(Hoja1!$K$1:$K$250, (COLUMN(I1)-1)*13 + 10))</f>
        <v>#N/A</v>
      </c>
      <c r="S6" s="1" t="e">
        <f>IF(INDEX(Hoja1!$K$1:$K$250, (COLUMN(J1)-1)*13 + 10)=0, NA(), INDEX(Hoja1!$K$1:$K$250, (COLUMN(J1)-1)*13 + 10))</f>
        <v>#N/A</v>
      </c>
    </row>
    <row r="7" spans="1:19">
      <c r="A7" s="116"/>
      <c r="B7" s="1" t="s">
        <v>30</v>
      </c>
      <c r="C7" s="1">
        <f>Hoja1!G29</f>
        <v>0</v>
      </c>
      <c r="D7" s="1">
        <f>Hoja1!I29</f>
        <v>0</v>
      </c>
      <c r="E7" s="1">
        <f>Hoja1!K29</f>
        <v>0</v>
      </c>
      <c r="F7" s="1">
        <f>Hoja1!M29</f>
        <v>0</v>
      </c>
      <c r="G7" s="1"/>
      <c r="H7" s="1"/>
      <c r="I7" s="1" t="s">
        <v>45</v>
      </c>
      <c r="J7" s="1">
        <f>IF(INDEX(Hoja1!$M$1:$M$250, (COLUMN(A1)-1)*13 + 10)=0, NA(), INDEX(Hoja1!$M$1:$M$250, (COLUMN(A1)-1)*13 + 10))</f>
        <v>13</v>
      </c>
      <c r="K7" s="1" t="e">
        <f>IF(INDEX(Hoja1!$M$1:$M$250, (COLUMN(B1)-1)*13 + 10)=0, NA(), INDEX(Hoja1!$M$1:$M$250, (COLUMN(B1)-1)*13 + 10))</f>
        <v>#N/A</v>
      </c>
      <c r="L7" s="1" t="e">
        <f>IF(INDEX(Hoja1!$M$1:$M$250, (COLUMN(C1)-1)*13 + 10)=0, NA(), INDEX(Hoja1!$M$1:$M$250, (COLUMN(C1)-1)*13 + 10))</f>
        <v>#N/A</v>
      </c>
      <c r="M7" s="1" t="e">
        <f>IF(INDEX(Hoja1!$M$1:$M$250, (COLUMN(D1)-1)*13 + 10)=0, NA(), INDEX(Hoja1!$M$1:$M$250, (COLUMN(D1)-1)*13 + 10))</f>
        <v>#N/A</v>
      </c>
      <c r="N7" s="1" t="e">
        <f>IF(INDEX(Hoja1!$M$1:$M$250, (COLUMN(E1)-1)*13 + 10)=0, NA(), INDEX(Hoja1!$M$1:$M$250, (COLUMN(E1)-1)*13 + 10))</f>
        <v>#N/A</v>
      </c>
      <c r="O7" s="1" t="e">
        <f>IF(INDEX(Hoja1!$M$1:$M$250, (COLUMN(F1)-1)*13 + 10)=0, NA(), INDEX(Hoja1!$M$1:$M$250, (COLUMN(F1)-1)*13 + 10))</f>
        <v>#N/A</v>
      </c>
      <c r="P7" s="1" t="e">
        <f>IF(INDEX(Hoja1!$M$1:$M$250, (COLUMN(G1)-1)*13 + 10)=0, NA(), INDEX(Hoja1!$M$1:$M$250, (COLUMN(G1)-1)*13 + 10))</f>
        <v>#N/A</v>
      </c>
      <c r="Q7" s="1" t="e">
        <f>IF(INDEX(Hoja1!$M$1:$M$250, (COLUMN(H1)-1)*13 + 10)=0, NA(), INDEX(Hoja1!$M$1:$M$250, (COLUMN(H1)-1)*13 + 10))</f>
        <v>#N/A</v>
      </c>
      <c r="R7" s="1" t="e">
        <f>IF(INDEX(Hoja1!$M$1:$M$250, (COLUMN(I1)-1)*13 + 10)=0, NA(), INDEX(Hoja1!$M$1:$M$250, (COLUMN(I1)-1)*13 + 10))</f>
        <v>#N/A</v>
      </c>
      <c r="S7" s="1" t="e">
        <f>IF(INDEX(Hoja1!$M$1:$M$250, (COLUMN(J1)-1)*13 + 10)=0, NA(), INDEX(Hoja1!$M$1:$M$250, (COLUMN(J1)-1)*13 + 10))</f>
        <v>#N/A</v>
      </c>
    </row>
    <row r="8" spans="1:19">
      <c r="A8" s="116"/>
      <c r="B8" s="1" t="s">
        <v>41</v>
      </c>
      <c r="C8" s="1">
        <f>Hoja1!G30</f>
        <v>0</v>
      </c>
      <c r="D8" s="1">
        <f>Hoja1!I30</f>
        <v>0</v>
      </c>
      <c r="E8" s="1">
        <f>Hoja1!K30</f>
        <v>0</v>
      </c>
      <c r="F8" s="1">
        <f>Hoja1!M30</f>
        <v>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>
      <c r="A9" s="116"/>
      <c r="B9" s="1" t="s">
        <v>30</v>
      </c>
      <c r="C9" s="1">
        <f>Hoja1!G42</f>
        <v>0</v>
      </c>
      <c r="D9" s="1">
        <f>Hoja1!I42</f>
        <v>0</v>
      </c>
      <c r="E9" s="1">
        <f>Hoja1!K42</f>
        <v>0</v>
      </c>
      <c r="F9" s="1">
        <f>Hoja1!M42</f>
        <v>0</v>
      </c>
      <c r="G9" s="1"/>
      <c r="H9" s="1"/>
      <c r="I9" s="37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>
      <c r="A10" s="116"/>
      <c r="B10" s="1" t="s">
        <v>41</v>
      </c>
      <c r="C10" s="1">
        <f>Hoja1!G43</f>
        <v>0</v>
      </c>
      <c r="D10" s="1">
        <f>Hoja1!I43</f>
        <v>0</v>
      </c>
      <c r="E10" s="1">
        <f>Hoja1!K43</f>
        <v>0</v>
      </c>
      <c r="F10" s="1">
        <f>Hoja1!M43</f>
        <v>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>
      <c r="A11" s="116"/>
      <c r="B11" s="1" t="s">
        <v>30</v>
      </c>
      <c r="C11" s="1">
        <f>Hoja1!G55</f>
        <v>0</v>
      </c>
      <c r="D11" s="1">
        <f>Hoja1!I55</f>
        <v>0</v>
      </c>
      <c r="E11" s="1">
        <f>Hoja1!K55</f>
        <v>0</v>
      </c>
      <c r="F11" s="1">
        <f>Hoja1!M55</f>
        <v>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>
      <c r="A12" s="116"/>
      <c r="B12" s="1" t="s">
        <v>41</v>
      </c>
      <c r="C12" s="1">
        <f>Hoja1!G56</f>
        <v>0</v>
      </c>
      <c r="D12" s="1">
        <f>Hoja1!I56</f>
        <v>0</v>
      </c>
      <c r="E12" s="1">
        <f>Hoja1!K56</f>
        <v>0</v>
      </c>
      <c r="F12" s="1">
        <f>Hoja1!M56</f>
        <v>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>
      <c r="A13" s="116"/>
      <c r="B13" s="1" t="s">
        <v>30</v>
      </c>
      <c r="C13" s="1">
        <f>Hoja1!G68</f>
        <v>0</v>
      </c>
      <c r="D13" s="1">
        <f>Hoja1!I68</f>
        <v>0</v>
      </c>
      <c r="E13" s="1">
        <f>Hoja1!K68</f>
        <v>0</v>
      </c>
      <c r="F13" s="1">
        <f>Hoja1!M68</f>
        <v>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>
      <c r="A14" s="116"/>
      <c r="B14" s="1" t="s">
        <v>41</v>
      </c>
      <c r="C14" s="1">
        <f>Hoja1!G69</f>
        <v>0</v>
      </c>
      <c r="D14" s="1">
        <f>Hoja1!I69</f>
        <v>0</v>
      </c>
      <c r="E14" s="1">
        <f>Hoja1!K69</f>
        <v>0</v>
      </c>
      <c r="F14" s="1">
        <f>Hoja1!M69</f>
        <v>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>
      <c r="A15" s="116"/>
      <c r="B15" s="1" t="s">
        <v>30</v>
      </c>
      <c r="C15" s="1">
        <f>Hoja1!G81</f>
        <v>0</v>
      </c>
      <c r="D15" s="1">
        <f>Hoja1!I81</f>
        <v>0</v>
      </c>
      <c r="E15" s="1">
        <f>Hoja1!K81</f>
        <v>0</v>
      </c>
      <c r="F15" s="1">
        <f>Hoja1!M81</f>
        <v>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>
      <c r="A16" s="116"/>
      <c r="B16" s="1" t="s">
        <v>41</v>
      </c>
      <c r="C16" s="1">
        <f>Hoja1!G82</f>
        <v>0</v>
      </c>
      <c r="D16" s="1">
        <f>Hoja1!I82</f>
        <v>0</v>
      </c>
      <c r="E16" s="1">
        <f>Hoja1!K82</f>
        <v>0</v>
      </c>
      <c r="F16" s="1">
        <f>Hoja1!M82</f>
        <v>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7">
      <c r="A17" s="116"/>
      <c r="B17" s="1" t="s">
        <v>30</v>
      </c>
      <c r="C17" s="1">
        <f>Hoja1!G94</f>
        <v>0</v>
      </c>
      <c r="D17" s="1">
        <f>Hoja1!I94</f>
        <v>0</v>
      </c>
      <c r="E17" s="1">
        <f>Hoja1!K94</f>
        <v>0</v>
      </c>
      <c r="F17" s="1">
        <f>Hoja1!M94</f>
        <v>0</v>
      </c>
      <c r="G17" s="1"/>
    </row>
    <row r="18" spans="1:7">
      <c r="A18" s="116"/>
      <c r="B18" s="1" t="s">
        <v>41</v>
      </c>
      <c r="C18" s="1">
        <f>Hoja1!G95</f>
        <v>0</v>
      </c>
      <c r="D18" s="1">
        <f>Hoja1!I95</f>
        <v>0</v>
      </c>
      <c r="E18" s="1">
        <f>Hoja1!K95</f>
        <v>0</v>
      </c>
      <c r="F18" s="1">
        <f>Hoja1!M95</f>
        <v>0</v>
      </c>
      <c r="G18" s="1"/>
    </row>
    <row r="19" spans="1:7">
      <c r="A19" s="116"/>
      <c r="B19" s="1" t="s">
        <v>30</v>
      </c>
      <c r="C19" s="1">
        <f>Hoja1!G107</f>
        <v>0</v>
      </c>
      <c r="D19" s="1">
        <f>Hoja1!I107</f>
        <v>0</v>
      </c>
      <c r="E19" s="1">
        <f>Hoja1!K107</f>
        <v>0</v>
      </c>
      <c r="F19" s="1">
        <f>Hoja1!M107</f>
        <v>0</v>
      </c>
      <c r="G19" s="1"/>
    </row>
    <row r="20" spans="1:7">
      <c r="A20" s="116"/>
      <c r="B20" s="1" t="s">
        <v>41</v>
      </c>
      <c r="C20" s="1">
        <f>Hoja1!G110</f>
        <v>0</v>
      </c>
      <c r="D20" s="1">
        <f>Hoja1!I110</f>
        <v>0</v>
      </c>
      <c r="E20" s="1">
        <f>Hoja1!K110</f>
        <v>0</v>
      </c>
      <c r="F20" s="1">
        <f>Hoja1!M110</f>
        <v>0</v>
      </c>
      <c r="G20" s="1"/>
    </row>
    <row r="21" spans="1:7">
      <c r="A21" s="116"/>
      <c r="B21" s="1" t="s">
        <v>30</v>
      </c>
      <c r="C21" s="1">
        <f>Hoja1!G122</f>
        <v>0</v>
      </c>
      <c r="D21" s="1">
        <f>Hoja1!I122</f>
        <v>0</v>
      </c>
      <c r="E21" s="1">
        <f>Hoja1!K122</f>
        <v>0</v>
      </c>
      <c r="F21" s="1">
        <f>Hoja1!M122</f>
        <v>0</v>
      </c>
      <c r="G21" s="1"/>
    </row>
    <row r="22" spans="1:7">
      <c r="A22" s="116"/>
      <c r="B22" s="1" t="s">
        <v>41</v>
      </c>
      <c r="C22" s="1">
        <f>Hoja1!G123</f>
        <v>0</v>
      </c>
      <c r="D22" s="1">
        <f>Hoja1!I123</f>
        <v>0</v>
      </c>
      <c r="E22" s="1">
        <f>Hoja1!K123</f>
        <v>0</v>
      </c>
      <c r="F22" s="1">
        <f>Hoja1!M123</f>
        <v>0</v>
      </c>
      <c r="G22" s="1"/>
    </row>
    <row r="24" spans="1:7">
      <c r="A24" s="1" t="s">
        <v>46</v>
      </c>
      <c r="B24" s="1"/>
      <c r="C24" s="1">
        <f>+COUNTIF(C3:C22,1)</f>
        <v>0</v>
      </c>
      <c r="D24" s="1">
        <f t="shared" ref="D24:F24" si="0">+COUNTIF(D3:D22,1)</f>
        <v>1</v>
      </c>
      <c r="E24" s="1">
        <f t="shared" si="0"/>
        <v>0</v>
      </c>
      <c r="F24" s="1">
        <f t="shared" si="0"/>
        <v>0</v>
      </c>
      <c r="G24" s="1"/>
    </row>
    <row r="25" spans="1:7">
      <c r="A25" s="110" t="s">
        <v>25</v>
      </c>
      <c r="B25" s="110"/>
      <c r="C25" s="110"/>
      <c r="D25" s="110"/>
      <c r="E25" s="110"/>
      <c r="F25" s="110"/>
      <c r="G25" s="1"/>
    </row>
    <row r="26" spans="1:7">
      <c r="A26" s="110" t="s">
        <v>28</v>
      </c>
      <c r="B26" s="110"/>
      <c r="C26" s="103" t="s">
        <v>42</v>
      </c>
      <c r="D26" s="103" t="s">
        <v>43</v>
      </c>
      <c r="E26" s="103" t="s">
        <v>44</v>
      </c>
      <c r="F26" s="103" t="s">
        <v>45</v>
      </c>
      <c r="G26" s="1"/>
    </row>
    <row r="27" spans="1:7">
      <c r="A27" s="116" t="s">
        <v>29</v>
      </c>
      <c r="B27" s="116" t="s">
        <v>47</v>
      </c>
      <c r="C27" s="110">
        <f>Hoja1!H5</f>
        <v>0</v>
      </c>
      <c r="D27" s="110">
        <f>Hoja1!J5</f>
        <v>0</v>
      </c>
      <c r="E27" s="110">
        <f>Hoja1!L5</f>
        <v>0</v>
      </c>
      <c r="F27" s="110">
        <f>Hoja1!N5</f>
        <v>1</v>
      </c>
      <c r="G27" s="110"/>
    </row>
    <row r="28" spans="1:7">
      <c r="A28" s="116"/>
      <c r="B28" s="116"/>
      <c r="C28" s="110"/>
      <c r="D28" s="110"/>
      <c r="E28" s="110"/>
      <c r="F28" s="110"/>
      <c r="G28" s="110"/>
    </row>
    <row r="29" spans="1:7">
      <c r="A29" s="116"/>
      <c r="B29" s="116"/>
      <c r="C29" s="110"/>
      <c r="D29" s="110"/>
      <c r="E29" s="110"/>
      <c r="F29" s="110"/>
      <c r="G29" s="110"/>
    </row>
    <row r="30" spans="1:7">
      <c r="A30" s="116"/>
      <c r="B30" s="116"/>
      <c r="C30" s="110"/>
      <c r="D30" s="110"/>
      <c r="E30" s="110"/>
      <c r="F30" s="110"/>
      <c r="G30" s="110"/>
    </row>
    <row r="31" spans="1:7">
      <c r="A31" s="116"/>
      <c r="B31" s="116"/>
      <c r="C31" s="110"/>
      <c r="D31" s="110"/>
      <c r="E31" s="110"/>
      <c r="F31" s="110"/>
      <c r="G31" s="110"/>
    </row>
    <row r="32" spans="1:7">
      <c r="A32" s="116"/>
      <c r="B32" s="116"/>
      <c r="C32" s="110"/>
      <c r="D32" s="110"/>
      <c r="E32" s="110"/>
      <c r="F32" s="110"/>
      <c r="G32" s="110"/>
    </row>
    <row r="33" spans="1:7">
      <c r="A33" s="116"/>
      <c r="B33" s="116"/>
      <c r="C33" s="110"/>
      <c r="D33" s="110"/>
      <c r="E33" s="110"/>
      <c r="F33" s="110"/>
      <c r="G33" s="110"/>
    </row>
    <row r="34" spans="1:7">
      <c r="A34" s="116"/>
      <c r="B34" s="116"/>
      <c r="C34" s="110"/>
      <c r="D34" s="110"/>
      <c r="E34" s="110"/>
      <c r="F34" s="110"/>
      <c r="G34" s="110"/>
    </row>
    <row r="35" spans="1:7">
      <c r="A35" s="116"/>
      <c r="B35" s="116"/>
      <c r="C35" s="110"/>
      <c r="D35" s="110"/>
      <c r="E35" s="110"/>
      <c r="F35" s="110"/>
      <c r="G35" s="110"/>
    </row>
    <row r="36" spans="1:7">
      <c r="A36" s="116"/>
      <c r="B36" s="116"/>
      <c r="C36" s="110"/>
      <c r="D36" s="110"/>
      <c r="E36" s="110"/>
      <c r="F36" s="110"/>
      <c r="G36" s="110"/>
    </row>
    <row r="37" spans="1:7">
      <c r="A37" s="116"/>
      <c r="B37" s="116"/>
      <c r="C37" s="110"/>
      <c r="D37" s="110"/>
      <c r="E37" s="110"/>
      <c r="F37" s="110"/>
      <c r="G37" s="110"/>
    </row>
    <row r="38" spans="1:7">
      <c r="A38" s="116"/>
      <c r="B38" s="116"/>
      <c r="C38" s="110"/>
      <c r="D38" s="110"/>
      <c r="E38" s="110"/>
      <c r="F38" s="110"/>
      <c r="G38" s="110"/>
    </row>
    <row r="39" spans="1:7">
      <c r="A39" s="116"/>
      <c r="B39" s="116"/>
      <c r="C39" s="110"/>
      <c r="D39" s="110"/>
      <c r="E39" s="110"/>
      <c r="F39" s="110"/>
      <c r="G39" s="110"/>
    </row>
    <row r="40" spans="1:7">
      <c r="A40" s="116"/>
      <c r="B40" s="116"/>
      <c r="C40" s="110"/>
      <c r="D40" s="110"/>
      <c r="E40" s="110"/>
      <c r="F40" s="110"/>
      <c r="G40" s="110"/>
    </row>
    <row r="41" spans="1:7">
      <c r="A41" s="116"/>
      <c r="B41" s="116"/>
      <c r="C41" s="110"/>
      <c r="D41" s="110"/>
      <c r="E41" s="110"/>
      <c r="F41" s="110"/>
      <c r="G41" s="110"/>
    </row>
    <row r="42" spans="1:7">
      <c r="A42" s="116"/>
      <c r="B42" s="116"/>
      <c r="C42" s="110"/>
      <c r="D42" s="110"/>
      <c r="E42" s="110"/>
      <c r="F42" s="110"/>
      <c r="G42" s="110"/>
    </row>
    <row r="43" spans="1:7">
      <c r="A43" s="116"/>
      <c r="B43" s="116"/>
      <c r="C43" s="110"/>
      <c r="D43" s="110"/>
      <c r="E43" s="110"/>
      <c r="F43" s="110"/>
      <c r="G43" s="110"/>
    </row>
    <row r="44" spans="1:7">
      <c r="A44" s="116"/>
      <c r="B44" s="116"/>
      <c r="C44" s="110"/>
      <c r="D44" s="110"/>
      <c r="E44" s="110"/>
      <c r="F44" s="110"/>
      <c r="G44" s="110"/>
    </row>
    <row r="45" spans="1:7">
      <c r="A45" s="116"/>
      <c r="B45" s="116"/>
      <c r="C45" s="110"/>
      <c r="D45" s="110"/>
      <c r="E45" s="110"/>
      <c r="F45" s="110"/>
      <c r="G45" s="110"/>
    </row>
    <row r="46" spans="1:7">
      <c r="A46" s="116"/>
      <c r="B46" s="116"/>
      <c r="C46" s="110"/>
      <c r="D46" s="110"/>
      <c r="E46" s="110"/>
      <c r="F46" s="110"/>
      <c r="G46" s="110"/>
    </row>
    <row r="47" spans="1:7">
      <c r="A47" s="1" t="s">
        <v>15</v>
      </c>
      <c r="B47" s="1"/>
      <c r="C47" s="1">
        <f>+SUM(C27:C46)</f>
        <v>0</v>
      </c>
      <c r="D47" s="1">
        <f t="shared" ref="D47:F47" si="1">+SUM(D27:D46)</f>
        <v>0</v>
      </c>
      <c r="E47" s="1">
        <f t="shared" si="1"/>
        <v>0</v>
      </c>
      <c r="F47" s="1">
        <f t="shared" si="1"/>
        <v>1</v>
      </c>
      <c r="G47" s="1"/>
    </row>
  </sheetData>
  <mergeCells count="84">
    <mergeCell ref="A21:A22"/>
    <mergeCell ref="A9:A10"/>
    <mergeCell ref="A13:A14"/>
    <mergeCell ref="A15:A16"/>
    <mergeCell ref="A17:A18"/>
    <mergeCell ref="A19:A20"/>
    <mergeCell ref="A33:A34"/>
    <mergeCell ref="A35:A36"/>
    <mergeCell ref="A37:A38"/>
    <mergeCell ref="A11:A12"/>
    <mergeCell ref="I1:S2"/>
    <mergeCell ref="A26:B26"/>
    <mergeCell ref="A25:F25"/>
    <mergeCell ref="A27:A28"/>
    <mergeCell ref="C27:C28"/>
    <mergeCell ref="D27:D28"/>
    <mergeCell ref="E27:E28"/>
    <mergeCell ref="F27:F28"/>
    <mergeCell ref="A3:A4"/>
    <mergeCell ref="A2:B2"/>
    <mergeCell ref="A5:A6"/>
    <mergeCell ref="A7:A8"/>
    <mergeCell ref="A39:A40"/>
    <mergeCell ref="A41:A42"/>
    <mergeCell ref="A43:A44"/>
    <mergeCell ref="A45:A4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A29:A30"/>
    <mergeCell ref="A31:A32"/>
    <mergeCell ref="C29:C30"/>
    <mergeCell ref="D29:D30"/>
    <mergeCell ref="E29:E30"/>
    <mergeCell ref="F29:F30"/>
    <mergeCell ref="C31:C32"/>
    <mergeCell ref="D31:D32"/>
    <mergeCell ref="E31:E32"/>
    <mergeCell ref="F31:F32"/>
    <mergeCell ref="C33:C34"/>
    <mergeCell ref="D33:D34"/>
    <mergeCell ref="E33:E34"/>
    <mergeCell ref="F33:F34"/>
    <mergeCell ref="C35:C36"/>
    <mergeCell ref="D35:D36"/>
    <mergeCell ref="E35:E36"/>
    <mergeCell ref="F35:F36"/>
    <mergeCell ref="C37:C38"/>
    <mergeCell ref="D37:D38"/>
    <mergeCell ref="E37:E38"/>
    <mergeCell ref="F37:F38"/>
    <mergeCell ref="C39:C40"/>
    <mergeCell ref="D39:D40"/>
    <mergeCell ref="E39:E40"/>
    <mergeCell ref="F39:F40"/>
    <mergeCell ref="C45:C46"/>
    <mergeCell ref="D45:D46"/>
    <mergeCell ref="E45:E46"/>
    <mergeCell ref="F45:F46"/>
    <mergeCell ref="C41:C42"/>
    <mergeCell ref="D41:D42"/>
    <mergeCell ref="E41:E42"/>
    <mergeCell ref="F41:F42"/>
    <mergeCell ref="C43:C44"/>
    <mergeCell ref="D43:D44"/>
    <mergeCell ref="E43:E44"/>
    <mergeCell ref="F43:F44"/>
    <mergeCell ref="G45:G46"/>
    <mergeCell ref="G43:G44"/>
    <mergeCell ref="G41:G42"/>
    <mergeCell ref="G39:G40"/>
    <mergeCell ref="G37:G38"/>
    <mergeCell ref="G35:G36"/>
    <mergeCell ref="G33:G34"/>
    <mergeCell ref="G27:G28"/>
    <mergeCell ref="G29:G30"/>
    <mergeCell ref="G31:G3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1"/>
  <sheetViews>
    <sheetView workbookViewId="0">
      <selection activeCell="B5" sqref="B2:B5"/>
    </sheetView>
  </sheetViews>
  <sheetFormatPr defaultColWidth="11.42578125" defaultRowHeight="15"/>
  <cols>
    <col min="3" max="3" width="11.85546875" bestFit="1" customWidth="1"/>
  </cols>
  <sheetData>
    <row r="1" spans="1:8">
      <c r="A1" s="1" t="s">
        <v>28</v>
      </c>
      <c r="B1" s="1" t="s">
        <v>20</v>
      </c>
      <c r="C1" s="1" t="s">
        <v>47</v>
      </c>
      <c r="D1" s="1" t="s">
        <v>48</v>
      </c>
      <c r="E1" s="1" t="s">
        <v>13</v>
      </c>
      <c r="F1" s="1" t="s">
        <v>49</v>
      </c>
      <c r="G1" s="1" t="s">
        <v>50</v>
      </c>
      <c r="H1" s="1"/>
    </row>
    <row r="2" spans="1:8">
      <c r="A2" s="53" t="s">
        <v>2</v>
      </c>
      <c r="B2" s="1"/>
      <c r="C2" s="1">
        <f>INDEX(Hoja1!$A$1:$N$250, INT((ROW(A1)-1)/4)*13 + 5, CHOOSE(MOD(ROW(A1)-1,4)+1, 8, 10, 12, 14))</f>
        <v>0</v>
      </c>
      <c r="D2" s="1">
        <f>INDEX(Hoja1!$A$1:$N$250, INT((ROW(A1)-1)/4)*13 + 6, CHOOSE(MOD(ROW(A1)-1,4)+1, 8, 10, 12, 14))</f>
        <v>0</v>
      </c>
      <c r="E2" s="1">
        <f>INDEX(Hoja1!$A$1:$N$250, INT((ROW(A1)-1)/4)*13 + 7, CHOOSE(MOD(ROW(A1)-1,4)+1, 8, 10, 12, 14))</f>
        <v>0</v>
      </c>
      <c r="F2" s="1">
        <f>IF(INDEX(Hoja1!$A$1:$N$250, INT((ROW(A1)-1)/4)*13 + 3, CHOOSE(MOD(ROW(A1)-1,4)+1, 7, 9, 11, 13))=0, "", INDEX(Hoja1!$A$1:$N$250, INT((ROW(A1)-1)/4)*13 + 3, CHOOSE(MOD(ROW(A1)-1,4)+1, 7, 9, 11, 13)))</f>
        <v>3</v>
      </c>
      <c r="G2" s="1" t="str">
        <f>IF(INDEX(Hoja1!$A$1:$N$250, INT((ROW(A1)-1)/4)*13 + 4, CHOOSE(MOD(ROW(A1)-1,4)+1, 7, 9, 11, 13))=0, "", INDEX(Hoja1!$A$1:$N$250, INT((ROW(A1)-1)/4)*13 + 4, CHOOSE(MOD(ROW(A1)-1,4)+1, 7, 9, 11, 13)))</f>
        <v/>
      </c>
      <c r="H2" s="1"/>
    </row>
    <row r="3" spans="1:8">
      <c r="A3" s="53" t="s">
        <v>2</v>
      </c>
      <c r="B3" s="1"/>
      <c r="C3" s="1">
        <f>INDEX(Hoja1!$A$1:$N$250, INT((ROW(A2)-1)/4)*13 + 5, CHOOSE(MOD(ROW(A2)-1,4)+1, 8, 10, 12, 14))</f>
        <v>0</v>
      </c>
      <c r="D3" s="1">
        <f>INDEX(Hoja1!$A$1:$N$250, INT((ROW(A2)-1)/4)*13 + 6, CHOOSE(MOD(ROW(A2)-1,4)+1, 8, 10, 12, 14))</f>
        <v>0</v>
      </c>
      <c r="E3" s="1">
        <f>INDEX(Hoja1!$A$1:$N$250, INT((ROW(A2)-1)/4)*13 + 7, CHOOSE(MOD(ROW(A2)-1,4)+1, 8, 10, 12, 14))</f>
        <v>0</v>
      </c>
      <c r="F3" s="1">
        <f>IF(INDEX(Hoja1!$A$1:$N$250, INT((ROW(A2)-1)/4)*13 + 3, CHOOSE(MOD(ROW(A2)-1,4)+1, 7, 9, 11, 13))=0, "", INDEX(Hoja1!$A$1:$N$250, INT((ROW(A2)-1)/4)*13 + 3, CHOOSE(MOD(ROW(A2)-1,4)+1, 7, 9, 11, 13)))</f>
        <v>1</v>
      </c>
      <c r="G3" s="1" t="str">
        <f>IF(INDEX(Hoja1!$A$1:$N$250, INT((ROW(A2)-1)/4)*13 + 4, CHOOSE(MOD(ROW(A2)-1,4)+1, 7, 9, 11, 13))=0, "", INDEX(Hoja1!$A$1:$N$250, INT((ROW(A2)-1)/4)*13 + 4, CHOOSE(MOD(ROW(A2)-1,4)+1, 7, 9, 11, 13)))</f>
        <v/>
      </c>
      <c r="H3" s="1"/>
    </row>
    <row r="4" spans="1:8">
      <c r="A4" s="53" t="s">
        <v>2</v>
      </c>
      <c r="B4" s="1"/>
      <c r="C4" s="1">
        <f>INDEX(Hoja1!$A$1:$N$250, INT((ROW(A3)-1)/4)*13 + 5, CHOOSE(MOD(ROW(A3)-1,4)+1, 8, 10, 12, 14))</f>
        <v>0</v>
      </c>
      <c r="D4" s="1">
        <f>INDEX(Hoja1!$A$1:$N$250, INT((ROW(A3)-1)/4)*13 + 6, CHOOSE(MOD(ROW(A3)-1,4)+1, 8, 10, 12, 14))</f>
        <v>0</v>
      </c>
      <c r="E4" s="1">
        <f>INDEX(Hoja1!$A$1:$N$250, INT((ROW(A3)-1)/4)*13 + 7, CHOOSE(MOD(ROW(A3)-1,4)+1, 8, 10, 12, 14))</f>
        <v>0</v>
      </c>
      <c r="F4" s="1">
        <f>IF(INDEX(Hoja1!$A$1:$N$250, INT((ROW(A3)-1)/4)*13 + 3, CHOOSE(MOD(ROW(A3)-1,4)+1, 7, 9, 11, 13))=0, "", INDEX(Hoja1!$A$1:$N$250, INT((ROW(A3)-1)/4)*13 + 3, CHOOSE(MOD(ROW(A3)-1,4)+1, 7, 9, 11, 13)))</f>
        <v>2</v>
      </c>
      <c r="G4" s="1" t="str">
        <f>IF(INDEX(Hoja1!$A$1:$N$250, INT((ROW(A3)-1)/4)*13 + 4, CHOOSE(MOD(ROW(A3)-1,4)+1, 7, 9, 11, 13))=0, "", INDEX(Hoja1!$A$1:$N$250, INT((ROW(A3)-1)/4)*13 + 4, CHOOSE(MOD(ROW(A3)-1,4)+1, 7, 9, 11, 13)))</f>
        <v/>
      </c>
      <c r="H4" s="1"/>
    </row>
    <row r="5" spans="1:8">
      <c r="A5" s="53" t="s">
        <v>2</v>
      </c>
      <c r="B5" s="1"/>
      <c r="C5" s="1">
        <f>INDEX(Hoja1!$A$1:$N$250, INT((ROW(A4)-1)/4)*13 + 5, CHOOSE(MOD(ROW(A4)-1,4)+1, 8, 10, 12, 14))</f>
        <v>1</v>
      </c>
      <c r="D5" s="1">
        <f>INDEX(Hoja1!$A$1:$N$250, INT((ROW(A4)-1)/4)*13 + 6, CHOOSE(MOD(ROW(A4)-1,4)+1, 8, 10, 12, 14))</f>
        <v>0</v>
      </c>
      <c r="E5" s="1">
        <f>INDEX(Hoja1!$A$1:$N$250, INT((ROW(A4)-1)/4)*13 + 7, CHOOSE(MOD(ROW(A4)-1,4)+1, 8, 10, 12, 14))</f>
        <v>0</v>
      </c>
      <c r="F5" s="1">
        <f>IF(INDEX(Hoja1!$A$1:$N$250, INT((ROW(A4)-1)/4)*13 + 3, CHOOSE(MOD(ROW(A4)-1,4)+1, 7, 9, 11, 13))=0, "", INDEX(Hoja1!$A$1:$N$250, INT((ROW(A4)-1)/4)*13 + 3, CHOOSE(MOD(ROW(A4)-1,4)+1, 7, 9, 11, 13)))</f>
        <v>4</v>
      </c>
      <c r="G5" s="1" t="str">
        <f>IF(INDEX(Hoja1!$A$1:$N$250, INT((ROW(A4)-1)/4)*13 + 4, CHOOSE(MOD(ROW(A4)-1,4)+1, 7, 9, 11, 13))=0, "", INDEX(Hoja1!$A$1:$N$250, INT((ROW(A4)-1)/4)*13 + 4, CHOOSE(MOD(ROW(A4)-1,4)+1, 7, 9, 11, 13)))</f>
        <v/>
      </c>
      <c r="H5" s="1"/>
    </row>
    <row r="6" spans="1:8">
      <c r="A6" s="53"/>
      <c r="B6" s="1"/>
      <c r="C6" s="1">
        <f>INDEX(Hoja1!$A$1:$N$250, INT((ROW(A5)-1)/4)*13 + 5, CHOOSE(MOD(ROW(A5)-1,4)+1, 8, 10, 12, 14))</f>
        <v>0</v>
      </c>
      <c r="D6" s="1">
        <f>INDEX(Hoja1!$A$1:$N$250, INT((ROW(A5)-1)/4)*13 + 6, CHOOSE(MOD(ROW(A5)-1,4)+1, 8, 10, 12, 14))</f>
        <v>0</v>
      </c>
      <c r="E6" s="1">
        <f>INDEX(Hoja1!$A$1:$N$250, INT((ROW(A5)-1)/4)*13 + 7, CHOOSE(MOD(ROW(A5)-1,4)+1, 8, 10, 12, 14))</f>
        <v>0</v>
      </c>
      <c r="F6" s="1" t="str">
        <f>IF(INDEX(Hoja1!$A$1:$N$250, INT((ROW(A5)-1)/4)*13 + 3, CHOOSE(MOD(ROW(A5)-1,4)+1, 7, 9, 11, 13))=0, "", INDEX(Hoja1!$A$1:$N$250, INT((ROW(A5)-1)/4)*13 + 3, CHOOSE(MOD(ROW(A5)-1,4)+1, 7, 9, 11, 13)))</f>
        <v/>
      </c>
      <c r="G6" s="1" t="str">
        <f>IF(INDEX(Hoja1!$A$1:$N$250, INT((ROW(A5)-1)/4)*13 + 4, CHOOSE(MOD(ROW(A5)-1,4)+1, 7, 9, 11, 13))=0, "", INDEX(Hoja1!$A$1:$N$250, INT((ROW(A5)-1)/4)*13 + 4, CHOOSE(MOD(ROW(A5)-1,4)+1, 7, 9, 11, 13)))</f>
        <v/>
      </c>
      <c r="H6" s="1"/>
    </row>
    <row r="7" spans="1:8">
      <c r="A7" s="53"/>
      <c r="B7" s="1"/>
      <c r="C7" s="1">
        <f>INDEX(Hoja1!$A$1:$N$250, INT((ROW(A6)-1)/4)*13 + 5, CHOOSE(MOD(ROW(A6)-1,4)+1, 8, 10, 12, 14))</f>
        <v>0</v>
      </c>
      <c r="D7" s="1">
        <f>INDEX(Hoja1!$A$1:$N$250, INT((ROW(A6)-1)/4)*13 + 6, CHOOSE(MOD(ROW(A6)-1,4)+1, 8, 10, 12, 14))</f>
        <v>0</v>
      </c>
      <c r="E7" s="1">
        <f>INDEX(Hoja1!$A$1:$N$250, INT((ROW(A6)-1)/4)*13 + 7, CHOOSE(MOD(ROW(A6)-1,4)+1, 8, 10, 12, 14))</f>
        <v>0</v>
      </c>
      <c r="F7" s="1" t="str">
        <f>IF(INDEX(Hoja1!$A$1:$N$250, INT((ROW(A6)-1)/4)*13 + 3, CHOOSE(MOD(ROW(A6)-1,4)+1, 7, 9, 11, 13))=0, "", INDEX(Hoja1!$A$1:$N$250, INT((ROW(A6)-1)/4)*13 + 3, CHOOSE(MOD(ROW(A6)-1,4)+1, 7, 9, 11, 13)))</f>
        <v/>
      </c>
      <c r="G7" s="1" t="str">
        <f>IF(INDEX(Hoja1!$A$1:$N$250, INT((ROW(A6)-1)/4)*13 + 4, CHOOSE(MOD(ROW(A6)-1,4)+1, 7, 9, 11, 13))=0, "", INDEX(Hoja1!$A$1:$N$250, INT((ROW(A6)-1)/4)*13 + 4, CHOOSE(MOD(ROW(A6)-1,4)+1, 7, 9, 11, 13)))</f>
        <v/>
      </c>
      <c r="H7" s="1"/>
    </row>
    <row r="8" spans="1:8">
      <c r="A8" s="53"/>
      <c r="B8" s="1"/>
      <c r="C8" s="1">
        <f>INDEX(Hoja1!$A$1:$N$250, INT((ROW(A7)-1)/4)*13 + 5, CHOOSE(MOD(ROW(A7)-1,4)+1, 8, 10, 12, 14))</f>
        <v>0</v>
      </c>
      <c r="D8" s="1">
        <f>INDEX(Hoja1!$A$1:$N$250, INT((ROW(A7)-1)/4)*13 + 6, CHOOSE(MOD(ROW(A7)-1,4)+1, 8, 10, 12, 14))</f>
        <v>0</v>
      </c>
      <c r="E8" s="1">
        <f>INDEX(Hoja1!$A$1:$N$250, INT((ROW(A7)-1)/4)*13 + 7, CHOOSE(MOD(ROW(A7)-1,4)+1, 8, 10, 12, 14))</f>
        <v>0</v>
      </c>
      <c r="F8" s="1" t="str">
        <f>IF(INDEX(Hoja1!$A$1:$N$250, INT((ROW(A7)-1)/4)*13 + 3, CHOOSE(MOD(ROW(A7)-1,4)+1, 7, 9, 11, 13))=0, "", INDEX(Hoja1!$A$1:$N$250, INT((ROW(A7)-1)/4)*13 + 3, CHOOSE(MOD(ROW(A7)-1,4)+1, 7, 9, 11, 13)))</f>
        <v/>
      </c>
      <c r="G8" s="1" t="str">
        <f>IF(INDEX(Hoja1!$A$1:$N$250, INT((ROW(A7)-1)/4)*13 + 4, CHOOSE(MOD(ROW(A7)-1,4)+1, 7, 9, 11, 13))=0, "", INDEX(Hoja1!$A$1:$N$250, INT((ROW(A7)-1)/4)*13 + 4, CHOOSE(MOD(ROW(A7)-1,4)+1, 7, 9, 11, 13)))</f>
        <v/>
      </c>
      <c r="H8" s="1"/>
    </row>
    <row r="9" spans="1:8">
      <c r="A9" s="53"/>
      <c r="B9" s="1"/>
      <c r="C9" s="1">
        <f>INDEX(Hoja1!$A$1:$N$250, INT((ROW(A8)-1)/4)*13 + 5, CHOOSE(MOD(ROW(A8)-1,4)+1, 8, 10, 12, 14))</f>
        <v>0</v>
      </c>
      <c r="D9" s="1">
        <f>INDEX(Hoja1!$A$1:$N$250, INT((ROW(A8)-1)/4)*13 + 6, CHOOSE(MOD(ROW(A8)-1,4)+1, 8, 10, 12, 14))</f>
        <v>0</v>
      </c>
      <c r="E9" s="1">
        <f>INDEX(Hoja1!$A$1:$N$250, INT((ROW(A8)-1)/4)*13 + 7, CHOOSE(MOD(ROW(A8)-1,4)+1, 8, 10, 12, 14))</f>
        <v>0</v>
      </c>
      <c r="F9" s="1" t="str">
        <f>IF(INDEX(Hoja1!$A$1:$N$250, INT((ROW(A8)-1)/4)*13 + 3, CHOOSE(MOD(ROW(A8)-1,4)+1, 7, 9, 11, 13))=0, "", INDEX(Hoja1!$A$1:$N$250, INT((ROW(A8)-1)/4)*13 + 3, CHOOSE(MOD(ROW(A8)-1,4)+1, 7, 9, 11, 13)))</f>
        <v/>
      </c>
      <c r="G9" s="1" t="str">
        <f>IF(INDEX(Hoja1!$A$1:$N$250, INT((ROW(A8)-1)/4)*13 + 4, CHOOSE(MOD(ROW(A8)-1,4)+1, 7, 9, 11, 13))=0, "", INDEX(Hoja1!$A$1:$N$250, INT((ROW(A8)-1)/4)*13 + 4, CHOOSE(MOD(ROW(A8)-1,4)+1, 7, 9, 11, 13)))</f>
        <v/>
      </c>
      <c r="H9" s="1"/>
    </row>
    <row r="10" spans="1:8">
      <c r="A10" s="53"/>
      <c r="B10" s="1"/>
      <c r="C10" s="1">
        <f>INDEX(Hoja1!$A$1:$N$250, INT((ROW(A9)-1)/4)*13 + 5, CHOOSE(MOD(ROW(A9)-1,4)+1, 8, 10, 12, 14))</f>
        <v>0</v>
      </c>
      <c r="D10" s="1">
        <f>INDEX(Hoja1!$A$1:$N$250, INT((ROW(A9)-1)/4)*13 + 6, CHOOSE(MOD(ROW(A9)-1,4)+1, 8, 10, 12, 14))</f>
        <v>0</v>
      </c>
      <c r="E10" s="1">
        <f>INDEX(Hoja1!$A$1:$N$250, INT((ROW(A9)-1)/4)*13 + 7, CHOOSE(MOD(ROW(A9)-1,4)+1, 8, 10, 12, 14))</f>
        <v>0</v>
      </c>
      <c r="F10" s="1" t="str">
        <f>IF(INDEX(Hoja1!$A$1:$N$250, INT((ROW(A9)-1)/4)*13 + 3, CHOOSE(MOD(ROW(A9)-1,4)+1, 7, 9, 11, 13))=0, "", INDEX(Hoja1!$A$1:$N$250, INT((ROW(A9)-1)/4)*13 + 3, CHOOSE(MOD(ROW(A9)-1,4)+1, 7, 9, 11, 13)))</f>
        <v/>
      </c>
      <c r="G10" s="1" t="str">
        <f>IF(INDEX(Hoja1!$A$1:$N$250, INT((ROW(A9)-1)/4)*13 + 4, CHOOSE(MOD(ROW(A9)-1,4)+1, 7, 9, 11, 13))=0, "", INDEX(Hoja1!$A$1:$N$250, INT((ROW(A9)-1)/4)*13 + 4, CHOOSE(MOD(ROW(A9)-1,4)+1, 7, 9, 11, 13)))</f>
        <v/>
      </c>
      <c r="H10" s="1"/>
    </row>
    <row r="11" spans="1:8">
      <c r="A11" s="53"/>
      <c r="B11" s="1"/>
      <c r="C11" s="1">
        <f>INDEX(Hoja1!$A$1:$N$250, INT((ROW(A10)-1)/4)*13 + 5, CHOOSE(MOD(ROW(A10)-1,4)+1, 8, 10, 12, 14))</f>
        <v>0</v>
      </c>
      <c r="D11" s="1">
        <f>INDEX(Hoja1!$A$1:$N$250, INT((ROW(A10)-1)/4)*13 + 6, CHOOSE(MOD(ROW(A10)-1,4)+1, 8, 10, 12, 14))</f>
        <v>0</v>
      </c>
      <c r="E11" s="1">
        <f>INDEX(Hoja1!$A$1:$N$250, INT((ROW(A10)-1)/4)*13 + 7, CHOOSE(MOD(ROW(A10)-1,4)+1, 8, 10, 12, 14))</f>
        <v>0</v>
      </c>
      <c r="F11" s="1" t="str">
        <f>IF(INDEX(Hoja1!$A$1:$N$250, INT((ROW(A10)-1)/4)*13 + 3, CHOOSE(MOD(ROW(A10)-1,4)+1, 7, 9, 11, 13))=0, "", INDEX(Hoja1!$A$1:$N$250, INT((ROW(A10)-1)/4)*13 + 3, CHOOSE(MOD(ROW(A10)-1,4)+1, 7, 9, 11, 13)))</f>
        <v/>
      </c>
      <c r="G11" s="1" t="str">
        <f>IF(INDEX(Hoja1!$A$1:$N$250, INT((ROW(A10)-1)/4)*13 + 4, CHOOSE(MOD(ROW(A10)-1,4)+1, 7, 9, 11, 13))=0, "", INDEX(Hoja1!$A$1:$N$250, INT((ROW(A10)-1)/4)*13 + 4, CHOOSE(MOD(ROW(A10)-1,4)+1, 7, 9, 11, 13)))</f>
        <v/>
      </c>
      <c r="H11" s="1"/>
    </row>
    <row r="12" spans="1:8">
      <c r="A12" s="53"/>
      <c r="B12" s="1"/>
      <c r="C12" s="1">
        <f>INDEX(Hoja1!$A$1:$N$250, INT((ROW(A11)-1)/4)*13 + 5, CHOOSE(MOD(ROW(A11)-1,4)+1, 8, 10, 12, 14))</f>
        <v>0</v>
      </c>
      <c r="D12" s="1">
        <f>INDEX(Hoja1!$A$1:$N$250, INT((ROW(A11)-1)/4)*13 + 6, CHOOSE(MOD(ROW(A11)-1,4)+1, 8, 10, 12, 14))</f>
        <v>0</v>
      </c>
      <c r="E12" s="1">
        <f>INDEX(Hoja1!$A$1:$N$250, INT((ROW(A11)-1)/4)*13 + 7, CHOOSE(MOD(ROW(A11)-1,4)+1, 8, 10, 12, 14))</f>
        <v>0</v>
      </c>
      <c r="F12" s="1" t="str">
        <f>IF(INDEX(Hoja1!$A$1:$N$250, INT((ROW(A11)-1)/4)*13 + 3, CHOOSE(MOD(ROW(A11)-1,4)+1, 7, 9, 11, 13))=0, "", INDEX(Hoja1!$A$1:$N$250, INT((ROW(A11)-1)/4)*13 + 3, CHOOSE(MOD(ROW(A11)-1,4)+1, 7, 9, 11, 13)))</f>
        <v/>
      </c>
      <c r="G12" s="1" t="str">
        <f>IF(INDEX(Hoja1!$A$1:$N$250, INT((ROW(A11)-1)/4)*13 + 4, CHOOSE(MOD(ROW(A11)-1,4)+1, 7, 9, 11, 13))=0, "", INDEX(Hoja1!$A$1:$N$250, INT((ROW(A11)-1)/4)*13 + 4, CHOOSE(MOD(ROW(A11)-1,4)+1, 7, 9, 11, 13)))</f>
        <v/>
      </c>
      <c r="H12" s="1"/>
    </row>
    <row r="13" spans="1:8">
      <c r="A13" s="53"/>
      <c r="B13" s="1"/>
      <c r="C13" s="1">
        <f>INDEX(Hoja1!$A$1:$N$250, INT((ROW(A12)-1)/4)*13 + 5, CHOOSE(MOD(ROW(A12)-1,4)+1, 8, 10, 12, 14))</f>
        <v>0</v>
      </c>
      <c r="D13" s="1">
        <f>INDEX(Hoja1!$A$1:$N$250, INT((ROW(A12)-1)/4)*13 + 6, CHOOSE(MOD(ROW(A12)-1,4)+1, 8, 10, 12, 14))</f>
        <v>0</v>
      </c>
      <c r="E13" s="1">
        <f>INDEX(Hoja1!$A$1:$N$250, INT((ROW(A12)-1)/4)*13 + 7, CHOOSE(MOD(ROW(A12)-1,4)+1, 8, 10, 12, 14))</f>
        <v>0</v>
      </c>
      <c r="F13" s="1" t="str">
        <f>IF(INDEX(Hoja1!$A$1:$N$250, INT((ROW(A12)-1)/4)*13 + 3, CHOOSE(MOD(ROW(A12)-1,4)+1, 7, 9, 11, 13))=0, "", INDEX(Hoja1!$A$1:$N$250, INT((ROW(A12)-1)/4)*13 + 3, CHOOSE(MOD(ROW(A12)-1,4)+1, 7, 9, 11, 13)))</f>
        <v/>
      </c>
      <c r="G13" s="1" t="str">
        <f>IF(INDEX(Hoja1!$A$1:$N$250, INT((ROW(A12)-1)/4)*13 + 4, CHOOSE(MOD(ROW(A12)-1,4)+1, 7, 9, 11, 13))=0, "", INDEX(Hoja1!$A$1:$N$250, INT((ROW(A12)-1)/4)*13 + 4, CHOOSE(MOD(ROW(A12)-1,4)+1, 7, 9, 11, 13)))</f>
        <v/>
      </c>
      <c r="H13" s="1"/>
    </row>
    <row r="14" spans="1:8">
      <c r="A14" s="53"/>
      <c r="B14" s="1"/>
      <c r="C14" s="1">
        <f>INDEX(Hoja1!$A$1:$N$250, INT((ROW(A13)-1)/4)*13 + 5, CHOOSE(MOD(ROW(A13)-1,4)+1, 8, 10, 12, 14))</f>
        <v>0</v>
      </c>
      <c r="D14" s="1">
        <f>INDEX(Hoja1!$A$1:$N$250, INT((ROW(A13)-1)/4)*13 + 6, CHOOSE(MOD(ROW(A13)-1,4)+1, 8, 10, 12, 14))</f>
        <v>0</v>
      </c>
      <c r="E14" s="1">
        <f>INDEX(Hoja1!$A$1:$N$250, INT((ROW(A13)-1)/4)*13 + 7, CHOOSE(MOD(ROW(A13)-1,4)+1, 8, 10, 12, 14))</f>
        <v>0</v>
      </c>
      <c r="F14" s="1" t="str">
        <f>IF(INDEX(Hoja1!$A$1:$N$250, INT((ROW(A13)-1)/4)*13 + 3, CHOOSE(MOD(ROW(A13)-1,4)+1, 7, 9, 11, 13))=0, "", INDEX(Hoja1!$A$1:$N$250, INT((ROW(A13)-1)/4)*13 + 3, CHOOSE(MOD(ROW(A13)-1,4)+1, 7, 9, 11, 13)))</f>
        <v/>
      </c>
      <c r="G14" s="1" t="str">
        <f>IF(INDEX(Hoja1!$A$1:$N$250, INT((ROW(A13)-1)/4)*13 + 4, CHOOSE(MOD(ROW(A13)-1,4)+1, 7, 9, 11, 13))=0, "", INDEX(Hoja1!$A$1:$N$250, INT((ROW(A13)-1)/4)*13 + 4, CHOOSE(MOD(ROW(A13)-1,4)+1, 7, 9, 11, 13)))</f>
        <v/>
      </c>
      <c r="H14" s="1"/>
    </row>
    <row r="15" spans="1:8">
      <c r="A15" s="53"/>
      <c r="B15" s="1"/>
      <c r="C15" s="1">
        <f>INDEX(Hoja1!$A$1:$N$250, INT((ROW(A14)-1)/4)*13 + 5, CHOOSE(MOD(ROW(A14)-1,4)+1, 8, 10, 12, 14))</f>
        <v>0</v>
      </c>
      <c r="D15" s="1">
        <f>INDEX(Hoja1!$A$1:$N$250, INT((ROW(A14)-1)/4)*13 + 6, CHOOSE(MOD(ROW(A14)-1,4)+1, 8, 10, 12, 14))</f>
        <v>0</v>
      </c>
      <c r="E15" s="1">
        <f>INDEX(Hoja1!$A$1:$N$250, INT((ROW(A14)-1)/4)*13 + 7, CHOOSE(MOD(ROW(A14)-1,4)+1, 8, 10, 12, 14))</f>
        <v>0</v>
      </c>
      <c r="F15" s="1" t="str">
        <f>IF(INDEX(Hoja1!$A$1:$N$250, INT((ROW(A14)-1)/4)*13 + 3, CHOOSE(MOD(ROW(A14)-1,4)+1, 7, 9, 11, 13))=0, "", INDEX(Hoja1!$A$1:$N$250, INT((ROW(A14)-1)/4)*13 + 3, CHOOSE(MOD(ROW(A14)-1,4)+1, 7, 9, 11, 13)))</f>
        <v/>
      </c>
      <c r="G15" s="1" t="str">
        <f>IF(INDEX(Hoja1!$A$1:$N$250, INT((ROW(A14)-1)/4)*13 + 4, CHOOSE(MOD(ROW(A14)-1,4)+1, 7, 9, 11, 13))=0, "", INDEX(Hoja1!$A$1:$N$250, INT((ROW(A14)-1)/4)*13 + 4, CHOOSE(MOD(ROW(A14)-1,4)+1, 7, 9, 11, 13)))</f>
        <v/>
      </c>
      <c r="H15" s="1"/>
    </row>
    <row r="16" spans="1:8">
      <c r="A16" s="53"/>
      <c r="B16" s="1"/>
      <c r="C16" s="1">
        <f>INDEX(Hoja1!$A$1:$N$250, INT((ROW(A15)-1)/4)*13 + 5, CHOOSE(MOD(ROW(A15)-1,4)+1, 8, 10, 12, 14))</f>
        <v>0</v>
      </c>
      <c r="D16" s="1">
        <f>INDEX(Hoja1!$A$1:$N$250, INT((ROW(A15)-1)/4)*13 + 6, CHOOSE(MOD(ROW(A15)-1,4)+1, 8, 10, 12, 14))</f>
        <v>0</v>
      </c>
      <c r="E16" s="1">
        <f>INDEX(Hoja1!$A$1:$N$250, INT((ROW(A15)-1)/4)*13 + 7, CHOOSE(MOD(ROW(A15)-1,4)+1, 8, 10, 12, 14))</f>
        <v>0</v>
      </c>
      <c r="F16" s="1" t="str">
        <f>IF(INDEX(Hoja1!$A$1:$N$250, INT((ROW(A15)-1)/4)*13 + 3, CHOOSE(MOD(ROW(A15)-1,4)+1, 7, 9, 11, 13))=0, "", INDEX(Hoja1!$A$1:$N$250, INT((ROW(A15)-1)/4)*13 + 3, CHOOSE(MOD(ROW(A15)-1,4)+1, 7, 9, 11, 13)))</f>
        <v/>
      </c>
      <c r="G16" s="1" t="str">
        <f>IF(INDEX(Hoja1!$A$1:$N$250, INT((ROW(A15)-1)/4)*13 + 4, CHOOSE(MOD(ROW(A15)-1,4)+1, 7, 9, 11, 13))=0, "", INDEX(Hoja1!$A$1:$N$250, INT((ROW(A15)-1)/4)*13 + 4, CHOOSE(MOD(ROW(A15)-1,4)+1, 7, 9, 11, 13)))</f>
        <v/>
      </c>
      <c r="H16" s="1"/>
    </row>
    <row r="17" spans="1:7">
      <c r="A17" s="53"/>
      <c r="B17" s="1"/>
      <c r="C17" s="1">
        <f>INDEX(Hoja1!$A$1:$N$250, INT((ROW(A16)-1)/4)*13 + 5, CHOOSE(MOD(ROW(A16)-1,4)+1, 8, 10, 12, 14))</f>
        <v>0</v>
      </c>
      <c r="D17" s="1">
        <f>INDEX(Hoja1!$A$1:$N$250, INT((ROW(A16)-1)/4)*13 + 6, CHOOSE(MOD(ROW(A16)-1,4)+1, 8, 10, 12, 14))</f>
        <v>0</v>
      </c>
      <c r="E17" s="1">
        <f>INDEX(Hoja1!$A$1:$N$250, INT((ROW(A16)-1)/4)*13 + 7, CHOOSE(MOD(ROW(A16)-1,4)+1, 8, 10, 12, 14))</f>
        <v>0</v>
      </c>
      <c r="F17" s="1" t="str">
        <f>IF(INDEX(Hoja1!$A$1:$N$250, INT((ROW(A16)-1)/4)*13 + 3, CHOOSE(MOD(ROW(A16)-1,4)+1, 7, 9, 11, 13))=0, "", INDEX(Hoja1!$A$1:$N$250, INT((ROW(A16)-1)/4)*13 + 3, CHOOSE(MOD(ROW(A16)-1,4)+1, 7, 9, 11, 13)))</f>
        <v/>
      </c>
      <c r="G17" s="1" t="str">
        <f>IF(INDEX(Hoja1!$A$1:$N$250, INT((ROW(A16)-1)/4)*13 + 4, CHOOSE(MOD(ROW(A16)-1,4)+1, 7, 9, 11, 13))=0, "", INDEX(Hoja1!$A$1:$N$250, INT((ROW(A16)-1)/4)*13 + 4, CHOOSE(MOD(ROW(A16)-1,4)+1, 7, 9, 11, 13)))</f>
        <v/>
      </c>
    </row>
    <row r="18" spans="1:7">
      <c r="A18" s="53"/>
      <c r="B18" s="1"/>
      <c r="C18" s="1">
        <f>INDEX(Hoja1!$A$1:$N$250, INT((ROW(A17)-1)/4)*13 + 5, CHOOSE(MOD(ROW(A17)-1,4)+1, 8, 10, 12, 14))</f>
        <v>0</v>
      </c>
      <c r="D18" s="1">
        <f>INDEX(Hoja1!$A$1:$N$250, INT((ROW(A17)-1)/4)*13 + 6, CHOOSE(MOD(ROW(A17)-1,4)+1, 8, 10, 12, 14))</f>
        <v>0</v>
      </c>
      <c r="E18" s="1">
        <f>INDEX(Hoja1!$A$1:$N$250, INT((ROW(A17)-1)/4)*13 + 7, CHOOSE(MOD(ROW(A17)-1,4)+1, 8, 10, 12, 14))</f>
        <v>0</v>
      </c>
      <c r="F18" s="1" t="str">
        <f>IF(INDEX(Hoja1!$A$1:$N$250, INT((ROW(A17)-1)/4)*13 + 3, CHOOSE(MOD(ROW(A17)-1,4)+1, 7, 9, 11, 13))=0, "", INDEX(Hoja1!$A$1:$N$250, INT((ROW(A17)-1)/4)*13 + 3, CHOOSE(MOD(ROW(A17)-1,4)+1, 7, 9, 11, 13)))</f>
        <v/>
      </c>
      <c r="G18" s="1" t="str">
        <f>IF(INDEX(Hoja1!$A$1:$N$250, INT((ROW(A17)-1)/4)*13 + 4, CHOOSE(MOD(ROW(A17)-1,4)+1, 7, 9, 11, 13))=0, "", INDEX(Hoja1!$A$1:$N$250, INT((ROW(A17)-1)/4)*13 + 4, CHOOSE(MOD(ROW(A17)-1,4)+1, 7, 9, 11, 13)))</f>
        <v/>
      </c>
    </row>
    <row r="19" spans="1:7">
      <c r="A19" s="53"/>
      <c r="B19" s="1"/>
      <c r="C19" s="1">
        <f>INDEX(Hoja1!$A$1:$N$250, INT((ROW(A18)-1)/4)*13 + 5, CHOOSE(MOD(ROW(A18)-1,4)+1, 8, 10, 12, 14))</f>
        <v>0</v>
      </c>
      <c r="D19" s="1">
        <f>INDEX(Hoja1!$A$1:$N$250, INT((ROW(A18)-1)/4)*13 + 6, CHOOSE(MOD(ROW(A18)-1,4)+1, 8, 10, 12, 14))</f>
        <v>0</v>
      </c>
      <c r="E19" s="1">
        <f>INDEX(Hoja1!$A$1:$N$250, INT((ROW(A18)-1)/4)*13 + 7, CHOOSE(MOD(ROW(A18)-1,4)+1, 8, 10, 12, 14))</f>
        <v>0</v>
      </c>
      <c r="F19" s="1" t="str">
        <f>IF(INDEX(Hoja1!$A$1:$N$250, INT((ROW(A18)-1)/4)*13 + 3, CHOOSE(MOD(ROW(A18)-1,4)+1, 7, 9, 11, 13))=0, "", INDEX(Hoja1!$A$1:$N$250, INT((ROW(A18)-1)/4)*13 + 3, CHOOSE(MOD(ROW(A18)-1,4)+1, 7, 9, 11, 13)))</f>
        <v/>
      </c>
      <c r="G19" s="1" t="str">
        <f>IF(INDEX(Hoja1!$A$1:$N$250, INT((ROW(A18)-1)/4)*13 + 4, CHOOSE(MOD(ROW(A18)-1,4)+1, 7, 9, 11, 13))=0, "", INDEX(Hoja1!$A$1:$N$250, INT((ROW(A18)-1)/4)*13 + 4, CHOOSE(MOD(ROW(A18)-1,4)+1, 7, 9, 11, 13)))</f>
        <v/>
      </c>
    </row>
    <row r="20" spans="1:7">
      <c r="A20" s="53"/>
      <c r="B20" s="1"/>
      <c r="C20" s="1">
        <f>INDEX(Hoja1!$A$1:$N$250, INT((ROW(A19)-1)/4)*13 + 5, CHOOSE(MOD(ROW(A19)-1,4)+1, 8, 10, 12, 14))</f>
        <v>0</v>
      </c>
      <c r="D20" s="1">
        <f>INDEX(Hoja1!$A$1:$N$250, INT((ROW(A19)-1)/4)*13 + 6, CHOOSE(MOD(ROW(A19)-1,4)+1, 8, 10, 12, 14))</f>
        <v>0</v>
      </c>
      <c r="E20" s="1">
        <f>INDEX(Hoja1!$A$1:$N$250, INT((ROW(A19)-1)/4)*13 + 7, CHOOSE(MOD(ROW(A19)-1,4)+1, 8, 10, 12, 14))</f>
        <v>0</v>
      </c>
      <c r="F20" s="1" t="str">
        <f>IF(INDEX(Hoja1!$A$1:$N$250, INT((ROW(A19)-1)/4)*13 + 3, CHOOSE(MOD(ROW(A19)-1,4)+1, 7, 9, 11, 13))=0, "", INDEX(Hoja1!$A$1:$N$250, INT((ROW(A19)-1)/4)*13 + 3, CHOOSE(MOD(ROW(A19)-1,4)+1, 7, 9, 11, 13)))</f>
        <v/>
      </c>
      <c r="G20" s="1" t="str">
        <f>IF(INDEX(Hoja1!$A$1:$N$250, INT((ROW(A19)-1)/4)*13 + 4, CHOOSE(MOD(ROW(A19)-1,4)+1, 7, 9, 11, 13))=0, "", INDEX(Hoja1!$A$1:$N$250, INT((ROW(A19)-1)/4)*13 + 4, CHOOSE(MOD(ROW(A19)-1,4)+1, 7, 9, 11, 13)))</f>
        <v/>
      </c>
    </row>
    <row r="21" spans="1:7">
      <c r="A21" s="53"/>
      <c r="B21" s="1"/>
      <c r="C21" s="1">
        <f>INDEX(Hoja1!$A$1:$N$250, INT((ROW(A20)-1)/4)*13 + 5, CHOOSE(MOD(ROW(A20)-1,4)+1, 8, 10, 12, 14))</f>
        <v>0</v>
      </c>
      <c r="D21" s="1">
        <f>INDEX(Hoja1!$A$1:$N$250, INT((ROW(A20)-1)/4)*13 + 6, CHOOSE(MOD(ROW(A20)-1,4)+1, 8, 10, 12, 14))</f>
        <v>0</v>
      </c>
      <c r="E21" s="1">
        <f>INDEX(Hoja1!$A$1:$N$250, INT((ROW(A20)-1)/4)*13 + 7, CHOOSE(MOD(ROW(A20)-1,4)+1, 8, 10, 12, 14))</f>
        <v>0</v>
      </c>
      <c r="F21" s="1" t="str">
        <f>IF(INDEX(Hoja1!$A$1:$N$250, INT((ROW(A20)-1)/4)*13 + 3, CHOOSE(MOD(ROW(A20)-1,4)+1, 7, 9, 11, 13))=0, "", INDEX(Hoja1!$A$1:$N$250, INT((ROW(A20)-1)/4)*13 + 3, CHOOSE(MOD(ROW(A20)-1,4)+1, 7, 9, 11, 13)))</f>
        <v/>
      </c>
      <c r="G21" s="1" t="str">
        <f>IF(INDEX(Hoja1!$A$1:$N$250, INT((ROW(A20)-1)/4)*13 + 4, CHOOSE(MOD(ROW(A20)-1,4)+1, 7, 9, 11, 13))=0, "", INDEX(Hoja1!$A$1:$N$250, INT((ROW(A20)-1)/4)*13 + 4, CHOOSE(MOD(ROW(A20)-1,4)+1, 7, 9, 11, 13)))</f>
        <v/>
      </c>
    </row>
    <row r="22" spans="1:7">
      <c r="A22" s="53"/>
      <c r="B22" s="1"/>
      <c r="C22" s="1">
        <f>INDEX(Hoja1!$A$1:$N$250, INT((ROW(A21)-1)/4)*13 + 5, CHOOSE(MOD(ROW(A21)-1,4)+1, 8, 10, 12, 14))</f>
        <v>0</v>
      </c>
      <c r="D22" s="1">
        <f>INDEX(Hoja1!$A$1:$N$250, INT((ROW(A21)-1)/4)*13 + 6, CHOOSE(MOD(ROW(A21)-1,4)+1, 8, 10, 12, 14))</f>
        <v>0</v>
      </c>
      <c r="E22" s="1">
        <f>INDEX(Hoja1!$A$1:$N$250, INT((ROW(A21)-1)/4)*13 + 7, CHOOSE(MOD(ROW(A21)-1,4)+1, 8, 10, 12, 14))</f>
        <v>0</v>
      </c>
      <c r="F22" s="1" t="str">
        <f>IF(INDEX(Hoja1!$A$1:$N$250, INT((ROW(A21)-1)/4)*13 + 3, CHOOSE(MOD(ROW(A21)-1,4)+1, 7, 9, 11, 13))=0, "", INDEX(Hoja1!$A$1:$N$250, INT((ROW(A21)-1)/4)*13 + 3, CHOOSE(MOD(ROW(A21)-1,4)+1, 7, 9, 11, 13)))</f>
        <v/>
      </c>
      <c r="G22" s="1" t="str">
        <f>IF(INDEX(Hoja1!$A$1:$N$250, INT((ROW(A21)-1)/4)*13 + 4, CHOOSE(MOD(ROW(A21)-1,4)+1, 7, 9, 11, 13))=0, "", INDEX(Hoja1!$A$1:$N$250, INT((ROW(A21)-1)/4)*13 + 4, CHOOSE(MOD(ROW(A21)-1,4)+1, 7, 9, 11, 13)))</f>
        <v/>
      </c>
    </row>
    <row r="23" spans="1:7">
      <c r="A23" s="53"/>
      <c r="B23" s="1"/>
      <c r="C23" s="1">
        <f>INDEX(Hoja1!$A$1:$N$250, INT((ROW(A22)-1)/4)*13 + 5, CHOOSE(MOD(ROW(A22)-1,4)+1, 8, 10, 12, 14))</f>
        <v>0</v>
      </c>
      <c r="D23" s="1">
        <f>INDEX(Hoja1!$A$1:$N$250, INT((ROW(A22)-1)/4)*13 + 6, CHOOSE(MOD(ROW(A22)-1,4)+1, 8, 10, 12, 14))</f>
        <v>0</v>
      </c>
      <c r="E23" s="1">
        <f>INDEX(Hoja1!$A$1:$N$250, INT((ROW(A22)-1)/4)*13 + 7, CHOOSE(MOD(ROW(A22)-1,4)+1, 8, 10, 12, 14))</f>
        <v>0</v>
      </c>
      <c r="F23" s="1" t="str">
        <f>IF(INDEX(Hoja1!$A$1:$N$250, INT((ROW(A22)-1)/4)*13 + 3, CHOOSE(MOD(ROW(A22)-1,4)+1, 7, 9, 11, 13))=0, "", INDEX(Hoja1!$A$1:$N$250, INT((ROW(A22)-1)/4)*13 + 3, CHOOSE(MOD(ROW(A22)-1,4)+1, 7, 9, 11, 13)))</f>
        <v/>
      </c>
      <c r="G23" s="1" t="str">
        <f>IF(INDEX(Hoja1!$A$1:$N$250, INT((ROW(A22)-1)/4)*13 + 4, CHOOSE(MOD(ROW(A22)-1,4)+1, 7, 9, 11, 13))=0, "", INDEX(Hoja1!$A$1:$N$250, INT((ROW(A22)-1)/4)*13 + 4, CHOOSE(MOD(ROW(A22)-1,4)+1, 7, 9, 11, 13)))</f>
        <v/>
      </c>
    </row>
    <row r="24" spans="1:7">
      <c r="A24" s="53"/>
      <c r="B24" s="1"/>
      <c r="C24" s="1">
        <f>INDEX(Hoja1!$A$1:$N$250, INT((ROW(A23)-1)/4)*13 + 5, CHOOSE(MOD(ROW(A23)-1,4)+1, 8, 10, 12, 14))</f>
        <v>0</v>
      </c>
      <c r="D24" s="1">
        <f>INDEX(Hoja1!$A$1:$N$250, INT((ROW(A23)-1)/4)*13 + 6, CHOOSE(MOD(ROW(A23)-1,4)+1, 8, 10, 12, 14))</f>
        <v>0</v>
      </c>
      <c r="E24" s="1">
        <f>INDEX(Hoja1!$A$1:$N$250, INT((ROW(A23)-1)/4)*13 + 7, CHOOSE(MOD(ROW(A23)-1,4)+1, 8, 10, 12, 14))</f>
        <v>0</v>
      </c>
      <c r="F24" s="1" t="str">
        <f>IF(INDEX(Hoja1!$A$1:$N$250, INT((ROW(A23)-1)/4)*13 + 3, CHOOSE(MOD(ROW(A23)-1,4)+1, 7, 9, 11, 13))=0, "", INDEX(Hoja1!$A$1:$N$250, INT((ROW(A23)-1)/4)*13 + 3, CHOOSE(MOD(ROW(A23)-1,4)+1, 7, 9, 11, 13)))</f>
        <v/>
      </c>
      <c r="G24" s="1" t="str">
        <f>IF(INDEX(Hoja1!$A$1:$N$250, INT((ROW(A23)-1)/4)*13 + 4, CHOOSE(MOD(ROW(A23)-1,4)+1, 7, 9, 11, 13))=0, "", INDEX(Hoja1!$A$1:$N$250, INT((ROW(A23)-1)/4)*13 + 4, CHOOSE(MOD(ROW(A23)-1,4)+1, 7, 9, 11, 13)))</f>
        <v/>
      </c>
    </row>
    <row r="25" spans="1:7">
      <c r="A25" s="53"/>
      <c r="B25" s="1"/>
      <c r="C25" s="1">
        <f>INDEX(Hoja1!$A$1:$N$250, INT((ROW(A24)-1)/4)*13 + 5, CHOOSE(MOD(ROW(A24)-1,4)+1, 8, 10, 12, 14))</f>
        <v>0</v>
      </c>
      <c r="D25" s="1">
        <f>INDEX(Hoja1!$A$1:$N$250, INT((ROW(A24)-1)/4)*13 + 6, CHOOSE(MOD(ROW(A24)-1,4)+1, 8, 10, 12, 14))</f>
        <v>0</v>
      </c>
      <c r="E25" s="1">
        <f>INDEX(Hoja1!$A$1:$N$250, INT((ROW(A24)-1)/4)*13 + 7, CHOOSE(MOD(ROW(A24)-1,4)+1, 8, 10, 12, 14))</f>
        <v>0</v>
      </c>
      <c r="F25" s="1" t="str">
        <f>IF(INDEX(Hoja1!$A$1:$N$250, INT((ROW(A24)-1)/4)*13 + 3, CHOOSE(MOD(ROW(A24)-1,4)+1, 7, 9, 11, 13))=0, "", INDEX(Hoja1!$A$1:$N$250, INT((ROW(A24)-1)/4)*13 + 3, CHOOSE(MOD(ROW(A24)-1,4)+1, 7, 9, 11, 13)))</f>
        <v/>
      </c>
      <c r="G25" s="1" t="str">
        <f>IF(INDEX(Hoja1!$A$1:$N$250, INT((ROW(A24)-1)/4)*13 + 4, CHOOSE(MOD(ROW(A24)-1,4)+1, 7, 9, 11, 13))=0, "", INDEX(Hoja1!$A$1:$N$250, INT((ROW(A24)-1)/4)*13 + 4, CHOOSE(MOD(ROW(A24)-1,4)+1, 7, 9, 11, 13)))</f>
        <v/>
      </c>
    </row>
    <row r="26" spans="1:7">
      <c r="A26" s="2"/>
      <c r="B26" s="1"/>
      <c r="C26" s="1">
        <f>INDEX(Hoja1!$A$1:$N$250, INT((ROW(A25)-1)/4)*13 + 5, CHOOSE(MOD(ROW(A25)-1,4)+1, 8, 10, 12, 14))</f>
        <v>0</v>
      </c>
      <c r="D26" s="1">
        <f>INDEX(Hoja1!$A$1:$N$250, INT((ROW(A25)-1)/4)*13 + 6, CHOOSE(MOD(ROW(A25)-1,4)+1, 8, 10, 12, 14))</f>
        <v>0</v>
      </c>
      <c r="E26" s="1">
        <f>INDEX(Hoja1!$A$1:$N$250, INT((ROW(A25)-1)/4)*13 + 7, CHOOSE(MOD(ROW(A25)-1,4)+1, 8, 10, 12, 14))</f>
        <v>0</v>
      </c>
      <c r="F26" s="1" t="str">
        <f>IF(INDEX(Hoja1!$A$1:$N$250, INT((ROW(A25)-1)/4)*13 + 3, CHOOSE(MOD(ROW(A25)-1,4)+1, 7, 9, 11, 13))=0, "", INDEX(Hoja1!$A$1:$N$250, INT((ROW(A25)-1)/4)*13 + 3, CHOOSE(MOD(ROW(A25)-1,4)+1, 7, 9, 11, 13)))</f>
        <v/>
      </c>
      <c r="G26" s="1" t="str">
        <f>IF(INDEX(Hoja1!$A$1:$N$250, INT((ROW(A25)-1)/4)*13 + 4, CHOOSE(MOD(ROW(A25)-1,4)+1, 7, 9, 11, 13))=0, "", INDEX(Hoja1!$A$1:$N$250, INT((ROW(A25)-1)/4)*13 + 4, CHOOSE(MOD(ROW(A25)-1,4)+1, 7, 9, 11, 13)))</f>
        <v/>
      </c>
    </row>
    <row r="27" spans="1:7">
      <c r="A27" s="2"/>
      <c r="B27" s="1"/>
      <c r="C27" s="1">
        <f>INDEX(Hoja1!$A$1:$N$250, INT((ROW(A26)-1)/4)*13 + 5, CHOOSE(MOD(ROW(A26)-1,4)+1, 8, 10, 12, 14))</f>
        <v>0</v>
      </c>
      <c r="D27" s="1">
        <f>INDEX(Hoja1!$A$1:$N$250, INT((ROW(A26)-1)/4)*13 + 6, CHOOSE(MOD(ROW(A26)-1,4)+1, 8, 10, 12, 14))</f>
        <v>0</v>
      </c>
      <c r="E27" s="1">
        <f>INDEX(Hoja1!$A$1:$N$250, INT((ROW(A26)-1)/4)*13 + 7, CHOOSE(MOD(ROW(A26)-1,4)+1, 8, 10, 12, 14))</f>
        <v>0</v>
      </c>
      <c r="F27" s="1" t="str">
        <f>IF(INDEX(Hoja1!$A$1:$N$250, INT((ROW(A26)-1)/4)*13 + 3, CHOOSE(MOD(ROW(A26)-1,4)+1, 7, 9, 11, 13))=0, "", INDEX(Hoja1!$A$1:$N$250, INT((ROW(A26)-1)/4)*13 + 3, CHOOSE(MOD(ROW(A26)-1,4)+1, 7, 9, 11, 13)))</f>
        <v/>
      </c>
      <c r="G27" s="1" t="str">
        <f>IF(INDEX(Hoja1!$A$1:$N$250, INT((ROW(A26)-1)/4)*13 + 4, CHOOSE(MOD(ROW(A26)-1,4)+1, 7, 9, 11, 13))=0, "", INDEX(Hoja1!$A$1:$N$250, INT((ROW(A26)-1)/4)*13 + 4, CHOOSE(MOD(ROW(A26)-1,4)+1, 7, 9, 11, 13)))</f>
        <v/>
      </c>
    </row>
    <row r="28" spans="1:7">
      <c r="A28" s="2"/>
      <c r="B28" s="1"/>
      <c r="C28" s="1">
        <f>INDEX(Hoja1!$A$1:$N$250, INT((ROW(A27)-1)/4)*13 + 5, CHOOSE(MOD(ROW(A27)-1,4)+1, 8, 10, 12, 14))</f>
        <v>0</v>
      </c>
      <c r="D28" s="1">
        <f>INDEX(Hoja1!$A$1:$N$250, INT((ROW(A27)-1)/4)*13 + 6, CHOOSE(MOD(ROW(A27)-1,4)+1, 8, 10, 12, 14))</f>
        <v>0</v>
      </c>
      <c r="E28" s="1">
        <f>INDEX(Hoja1!$A$1:$N$250, INT((ROW(A27)-1)/4)*13 + 7, CHOOSE(MOD(ROW(A27)-1,4)+1, 8, 10, 12, 14))</f>
        <v>0</v>
      </c>
      <c r="F28" s="1" t="str">
        <f>IF(INDEX(Hoja1!$A$1:$N$250, INT((ROW(A27)-1)/4)*13 + 3, CHOOSE(MOD(ROW(A27)-1,4)+1, 7, 9, 11, 13))=0, "", INDEX(Hoja1!$A$1:$N$250, INT((ROW(A27)-1)/4)*13 + 3, CHOOSE(MOD(ROW(A27)-1,4)+1, 7, 9, 11, 13)))</f>
        <v/>
      </c>
      <c r="G28" s="1" t="str">
        <f>IF(INDEX(Hoja1!$A$1:$N$250, INT((ROW(A27)-1)/4)*13 + 4, CHOOSE(MOD(ROW(A27)-1,4)+1, 7, 9, 11, 13))=0, "", INDEX(Hoja1!$A$1:$N$250, INT((ROW(A27)-1)/4)*13 + 4, CHOOSE(MOD(ROW(A27)-1,4)+1, 7, 9, 11, 13)))</f>
        <v/>
      </c>
    </row>
    <row r="29" spans="1:7">
      <c r="A29" s="2"/>
      <c r="B29" s="1"/>
      <c r="C29" s="1">
        <f>INDEX(Hoja1!$A$1:$N$250, INT((ROW(A28)-1)/4)*13 + 5, CHOOSE(MOD(ROW(A28)-1,4)+1, 8, 10, 12, 14))</f>
        <v>0</v>
      </c>
      <c r="D29" s="1">
        <f>INDEX(Hoja1!$A$1:$N$250, INT((ROW(A28)-1)/4)*13 + 6, CHOOSE(MOD(ROW(A28)-1,4)+1, 8, 10, 12, 14))</f>
        <v>0</v>
      </c>
      <c r="E29" s="1">
        <f>INDEX(Hoja1!$A$1:$N$250, INT((ROW(A28)-1)/4)*13 + 7, CHOOSE(MOD(ROW(A28)-1,4)+1, 8, 10, 12, 14))</f>
        <v>0</v>
      </c>
      <c r="F29" s="1" t="str">
        <f>IF(INDEX(Hoja1!$A$1:$N$250, INT((ROW(A28)-1)/4)*13 + 3, CHOOSE(MOD(ROW(A28)-1,4)+1, 7, 9, 11, 13))=0, "", INDEX(Hoja1!$A$1:$N$250, INT((ROW(A28)-1)/4)*13 + 3, CHOOSE(MOD(ROW(A28)-1,4)+1, 7, 9, 11, 13)))</f>
        <v/>
      </c>
      <c r="G29" s="1" t="str">
        <f>IF(INDEX(Hoja1!$A$1:$N$250, INT((ROW(A28)-1)/4)*13 + 4, CHOOSE(MOD(ROW(A28)-1,4)+1, 7, 9, 11, 13))=0, "", INDEX(Hoja1!$A$1:$N$250, INT((ROW(A28)-1)/4)*13 + 4, CHOOSE(MOD(ROW(A28)-1,4)+1, 7, 9, 11, 13)))</f>
        <v/>
      </c>
    </row>
    <row r="30" spans="1:7">
      <c r="A30" s="2"/>
      <c r="B30" s="1"/>
      <c r="C30" s="1">
        <f>INDEX(Hoja1!$A$1:$N$250, INT((ROW(A29)-1)/4)*13 + 5, CHOOSE(MOD(ROW(A29)-1,4)+1, 8, 10, 12, 14))</f>
        <v>0</v>
      </c>
      <c r="D30" s="1">
        <f>INDEX(Hoja1!$A$1:$N$250, INT((ROW(A29)-1)/4)*13 + 6, CHOOSE(MOD(ROW(A29)-1,4)+1, 8, 10, 12, 14))</f>
        <v>0</v>
      </c>
      <c r="E30" s="1">
        <f>INDEX(Hoja1!$A$1:$N$250, INT((ROW(A29)-1)/4)*13 + 7, CHOOSE(MOD(ROW(A29)-1,4)+1, 8, 10, 12, 14))</f>
        <v>0</v>
      </c>
      <c r="F30" s="1" t="str">
        <f>IF(INDEX(Hoja1!$A$1:$N$250, INT((ROW(A29)-1)/4)*13 + 3, CHOOSE(MOD(ROW(A29)-1,4)+1, 7, 9, 11, 13))=0, "", INDEX(Hoja1!$A$1:$N$250, INT((ROW(A29)-1)/4)*13 + 3, CHOOSE(MOD(ROW(A29)-1,4)+1, 7, 9, 11, 13)))</f>
        <v/>
      </c>
      <c r="G30" s="1" t="str">
        <f>IF(INDEX(Hoja1!$A$1:$N$250, INT((ROW(A29)-1)/4)*13 + 4, CHOOSE(MOD(ROW(A29)-1,4)+1, 7, 9, 11, 13))=0, "", INDEX(Hoja1!$A$1:$N$250, INT((ROW(A29)-1)/4)*13 + 4, CHOOSE(MOD(ROW(A29)-1,4)+1, 7, 9, 11, 13)))</f>
        <v/>
      </c>
    </row>
    <row r="31" spans="1:7">
      <c r="A31" s="2"/>
      <c r="B31" s="1"/>
      <c r="C31" s="1">
        <f>INDEX(Hoja1!$A$1:$N$250, INT((ROW(A30)-1)/4)*13 + 5, CHOOSE(MOD(ROW(A30)-1,4)+1, 8, 10, 12, 14))</f>
        <v>0</v>
      </c>
      <c r="D31" s="1">
        <f>INDEX(Hoja1!$A$1:$N$250, INT((ROW(A30)-1)/4)*13 + 6, CHOOSE(MOD(ROW(A30)-1,4)+1, 8, 10, 12, 14))</f>
        <v>0</v>
      </c>
      <c r="E31" s="1">
        <f>INDEX(Hoja1!$A$1:$N$250, INT((ROW(A30)-1)/4)*13 + 7, CHOOSE(MOD(ROW(A30)-1,4)+1, 8, 10, 12, 14))</f>
        <v>0</v>
      </c>
      <c r="F31" s="1" t="str">
        <f>IF(INDEX(Hoja1!$A$1:$N$250, INT((ROW(A30)-1)/4)*13 + 3, CHOOSE(MOD(ROW(A30)-1,4)+1, 7, 9, 11, 13))=0, "", INDEX(Hoja1!$A$1:$N$250, INT((ROW(A30)-1)/4)*13 + 3, CHOOSE(MOD(ROW(A30)-1,4)+1, 7, 9, 11, 13)))</f>
        <v/>
      </c>
      <c r="G31" s="1" t="str">
        <f>IF(INDEX(Hoja1!$A$1:$N$250, INT((ROW(A30)-1)/4)*13 + 4, CHOOSE(MOD(ROW(A30)-1,4)+1, 7, 9, 11, 13))=0, "", INDEX(Hoja1!$A$1:$N$250, INT((ROW(A30)-1)/4)*13 + 4, CHOOSE(MOD(ROW(A30)-1,4)+1, 7, 9, 11, 13)))</f>
        <v/>
      </c>
    </row>
    <row r="32" spans="1:7">
      <c r="A32" s="2"/>
      <c r="B32" s="1"/>
      <c r="C32" s="1">
        <f>INDEX(Hoja1!$A$1:$N$250, INT((ROW(A31)-1)/4)*13 + 5, CHOOSE(MOD(ROW(A31)-1,4)+1, 8, 10, 12, 14))</f>
        <v>0</v>
      </c>
      <c r="D32" s="1">
        <f>INDEX(Hoja1!$A$1:$N$250, INT((ROW(A31)-1)/4)*13 + 6, CHOOSE(MOD(ROW(A31)-1,4)+1, 8, 10, 12, 14))</f>
        <v>0</v>
      </c>
      <c r="E32" s="1">
        <f>INDEX(Hoja1!$A$1:$N$250, INT((ROW(A31)-1)/4)*13 + 7, CHOOSE(MOD(ROW(A31)-1,4)+1, 8, 10, 12, 14))</f>
        <v>0</v>
      </c>
      <c r="F32" s="1" t="str">
        <f>IF(INDEX(Hoja1!$A$1:$N$250, INT((ROW(A31)-1)/4)*13 + 3, CHOOSE(MOD(ROW(A31)-1,4)+1, 7, 9, 11, 13))=0, "", INDEX(Hoja1!$A$1:$N$250, INT((ROW(A31)-1)/4)*13 + 3, CHOOSE(MOD(ROW(A31)-1,4)+1, 7, 9, 11, 13)))</f>
        <v/>
      </c>
      <c r="G32" s="1" t="str">
        <f>IF(INDEX(Hoja1!$A$1:$N$250, INT((ROW(A31)-1)/4)*13 + 4, CHOOSE(MOD(ROW(A31)-1,4)+1, 7, 9, 11, 13))=0, "", INDEX(Hoja1!$A$1:$N$250, INT((ROW(A31)-1)/4)*13 + 4, CHOOSE(MOD(ROW(A31)-1,4)+1, 7, 9, 11, 13)))</f>
        <v/>
      </c>
    </row>
    <row r="33" spans="1:7">
      <c r="A33" s="2"/>
      <c r="B33" s="1"/>
      <c r="C33" s="1">
        <f>INDEX(Hoja1!$A$1:$N$250, INT((ROW(A32)-1)/4)*13 + 5, CHOOSE(MOD(ROW(A32)-1,4)+1, 8, 10, 12, 14))</f>
        <v>0</v>
      </c>
      <c r="D33" s="1">
        <f>INDEX(Hoja1!$A$1:$N$250, INT((ROW(A32)-1)/4)*13 + 6, CHOOSE(MOD(ROW(A32)-1,4)+1, 8, 10, 12, 14))</f>
        <v>0</v>
      </c>
      <c r="E33" s="1">
        <f>INDEX(Hoja1!$A$1:$N$250, INT((ROW(A32)-1)/4)*13 + 7, CHOOSE(MOD(ROW(A32)-1,4)+1, 8, 10, 12, 14))</f>
        <v>0</v>
      </c>
      <c r="F33" s="1" t="str">
        <f>IF(INDEX(Hoja1!$A$1:$N$250, INT((ROW(A32)-1)/4)*13 + 3, CHOOSE(MOD(ROW(A32)-1,4)+1, 7, 9, 11, 13))=0, "", INDEX(Hoja1!$A$1:$N$250, INT((ROW(A32)-1)/4)*13 + 3, CHOOSE(MOD(ROW(A32)-1,4)+1, 7, 9, 11, 13)))</f>
        <v/>
      </c>
      <c r="G33" s="1" t="str">
        <f>IF(INDEX(Hoja1!$A$1:$N$250, INT((ROW(A32)-1)/4)*13 + 4, CHOOSE(MOD(ROW(A32)-1,4)+1, 7, 9, 11, 13))=0, "", INDEX(Hoja1!$A$1:$N$250, INT((ROW(A32)-1)/4)*13 + 4, CHOOSE(MOD(ROW(A32)-1,4)+1, 7, 9, 11, 13)))</f>
        <v/>
      </c>
    </row>
    <row r="34" spans="1:7">
      <c r="A34" s="2"/>
      <c r="B34" s="1"/>
      <c r="C34" s="1">
        <f>INDEX(Hoja1!$A$1:$N$250, INT((ROW(A33)-1)/4)*13 + 5, CHOOSE(MOD(ROW(A33)-1,4)+1, 8, 10, 12, 14))</f>
        <v>0</v>
      </c>
      <c r="D34" s="1">
        <f>INDEX(Hoja1!$A$1:$N$250, INT((ROW(A33)-1)/4)*13 + 6, CHOOSE(MOD(ROW(A33)-1,4)+1, 8, 10, 12, 14))</f>
        <v>0</v>
      </c>
      <c r="E34" s="1">
        <f>INDEX(Hoja1!$A$1:$N$250, INT((ROW(A33)-1)/4)*13 + 7, CHOOSE(MOD(ROW(A33)-1,4)+1, 8, 10, 12, 14))</f>
        <v>0</v>
      </c>
      <c r="F34" s="1" t="str">
        <f>IF(INDEX(Hoja1!$A$1:$N$250, INT((ROW(A33)-1)/4)*13 + 3, CHOOSE(MOD(ROW(A33)-1,4)+1, 7, 9, 11, 13))=0, "", INDEX(Hoja1!$A$1:$N$250, INT((ROW(A33)-1)/4)*13 + 3, CHOOSE(MOD(ROW(A33)-1,4)+1, 7, 9, 11, 13)))</f>
        <v/>
      </c>
      <c r="G34" s="1" t="str">
        <f>IF(INDEX(Hoja1!$A$1:$N$250, INT((ROW(A33)-1)/4)*13 + 4, CHOOSE(MOD(ROW(A33)-1,4)+1, 7, 9, 11, 13))=0, "", INDEX(Hoja1!$A$1:$N$250, INT((ROW(A33)-1)/4)*13 + 4, CHOOSE(MOD(ROW(A33)-1,4)+1, 7, 9, 11, 13)))</f>
        <v/>
      </c>
    </row>
    <row r="35" spans="1:7">
      <c r="A35" s="2"/>
      <c r="B35" s="1"/>
      <c r="C35" s="1">
        <f>INDEX(Hoja1!$A$1:$N$250, INT((ROW(A34)-1)/4)*13 + 5, CHOOSE(MOD(ROW(A34)-1,4)+1, 8, 10, 12, 14))</f>
        <v>0</v>
      </c>
      <c r="D35" s="1">
        <f>INDEX(Hoja1!$A$1:$N$250, INT((ROW(A34)-1)/4)*13 + 6, CHOOSE(MOD(ROW(A34)-1,4)+1, 8, 10, 12, 14))</f>
        <v>0</v>
      </c>
      <c r="E35" s="1">
        <f>INDEX(Hoja1!$A$1:$N$250, INT((ROW(A34)-1)/4)*13 + 7, CHOOSE(MOD(ROW(A34)-1,4)+1, 8, 10, 12, 14))</f>
        <v>0</v>
      </c>
      <c r="F35" s="1" t="str">
        <f>IF(INDEX(Hoja1!$A$1:$N$250, INT((ROW(A34)-1)/4)*13 + 3, CHOOSE(MOD(ROW(A34)-1,4)+1, 7, 9, 11, 13))=0, "", INDEX(Hoja1!$A$1:$N$250, INT((ROW(A34)-1)/4)*13 + 3, CHOOSE(MOD(ROW(A34)-1,4)+1, 7, 9, 11, 13)))</f>
        <v/>
      </c>
      <c r="G35" s="1" t="str">
        <f>IF(INDEX(Hoja1!$A$1:$N$250, INT((ROW(A34)-1)/4)*13 + 4, CHOOSE(MOD(ROW(A34)-1,4)+1, 7, 9, 11, 13))=0, "", INDEX(Hoja1!$A$1:$N$250, INT((ROW(A34)-1)/4)*13 + 4, CHOOSE(MOD(ROW(A34)-1,4)+1, 7, 9, 11, 13)))</f>
        <v/>
      </c>
    </row>
    <row r="36" spans="1:7">
      <c r="A36" s="2"/>
      <c r="B36" s="1"/>
      <c r="C36" s="1">
        <f>INDEX(Hoja1!$A$1:$N$250, INT((ROW(A35)-1)/4)*13 + 5, CHOOSE(MOD(ROW(A35)-1,4)+1, 8, 10, 12, 14))</f>
        <v>0</v>
      </c>
      <c r="D36" s="1">
        <f>INDEX(Hoja1!$A$1:$N$250, INT((ROW(A35)-1)/4)*13 + 6, CHOOSE(MOD(ROW(A35)-1,4)+1, 8, 10, 12, 14))</f>
        <v>0</v>
      </c>
      <c r="E36" s="1">
        <f>INDEX(Hoja1!$A$1:$N$250, INT((ROW(A35)-1)/4)*13 + 7, CHOOSE(MOD(ROW(A35)-1,4)+1, 8, 10, 12, 14))</f>
        <v>0</v>
      </c>
      <c r="F36" s="1" t="str">
        <f>IF(INDEX(Hoja1!$A$1:$N$250, INT((ROW(A35)-1)/4)*13 + 3, CHOOSE(MOD(ROW(A35)-1,4)+1, 7, 9, 11, 13))=0, "", INDEX(Hoja1!$A$1:$N$250, INT((ROW(A35)-1)/4)*13 + 3, CHOOSE(MOD(ROW(A35)-1,4)+1, 7, 9, 11, 13)))</f>
        <v/>
      </c>
      <c r="G36" s="1" t="str">
        <f>IF(INDEX(Hoja1!$A$1:$N$250, INT((ROW(A35)-1)/4)*13 + 4, CHOOSE(MOD(ROW(A35)-1,4)+1, 7, 9, 11, 13))=0, "", INDEX(Hoja1!$A$1:$N$250, INT((ROW(A35)-1)/4)*13 + 4, CHOOSE(MOD(ROW(A35)-1,4)+1, 7, 9, 11, 13)))</f>
        <v/>
      </c>
    </row>
    <row r="37" spans="1:7">
      <c r="A37" s="2"/>
      <c r="B37" s="1"/>
      <c r="C37" s="1">
        <f>INDEX(Hoja1!$A$1:$N$250, INT((ROW(A36)-1)/4)*13 + 5, CHOOSE(MOD(ROW(A36)-1,4)+1, 8, 10, 12, 14))</f>
        <v>0</v>
      </c>
      <c r="D37" s="1">
        <f>INDEX(Hoja1!$A$1:$N$250, INT((ROW(A36)-1)/4)*13 + 6, CHOOSE(MOD(ROW(A36)-1,4)+1, 8, 10, 12, 14))</f>
        <v>0</v>
      </c>
      <c r="E37" s="1">
        <f>INDEX(Hoja1!$A$1:$N$250, INT((ROW(A36)-1)/4)*13 + 7, CHOOSE(MOD(ROW(A36)-1,4)+1, 8, 10, 12, 14))</f>
        <v>0</v>
      </c>
      <c r="F37" s="1" t="str">
        <f>IF(INDEX(Hoja1!$A$1:$N$250, INT((ROW(A36)-1)/4)*13 + 3, CHOOSE(MOD(ROW(A36)-1,4)+1, 7, 9, 11, 13))=0, "", INDEX(Hoja1!$A$1:$N$250, INT((ROW(A36)-1)/4)*13 + 3, CHOOSE(MOD(ROW(A36)-1,4)+1, 7, 9, 11, 13)))</f>
        <v/>
      </c>
      <c r="G37" s="1" t="str">
        <f>IF(INDEX(Hoja1!$A$1:$N$250, INT((ROW(A36)-1)/4)*13 + 4, CHOOSE(MOD(ROW(A36)-1,4)+1, 7, 9, 11, 13))=0, "", INDEX(Hoja1!$A$1:$N$250, INT((ROW(A36)-1)/4)*13 + 4, CHOOSE(MOD(ROW(A36)-1,4)+1, 7, 9, 11, 13)))</f>
        <v/>
      </c>
    </row>
    <row r="38" spans="1:7">
      <c r="A38" s="110"/>
      <c r="B38" s="1"/>
      <c r="C38" s="1">
        <f>INDEX(Hoja1!$A$1:$N$250, INT((ROW(A37)-1)/4)*13 + 5, CHOOSE(MOD(ROW(A37)-1,4)+1, 8, 10, 12, 14))</f>
        <v>0</v>
      </c>
      <c r="D38" s="1">
        <f>INDEX(Hoja1!$A$1:$N$250, INT((ROW(A37)-1)/4)*13 + 6, CHOOSE(MOD(ROW(A37)-1,4)+1, 8, 10, 12, 14))</f>
        <v>0</v>
      </c>
      <c r="E38" s="1">
        <f>INDEX(Hoja1!$A$1:$N$250, INT((ROW(A37)-1)/4)*13 + 7, CHOOSE(MOD(ROW(A37)-1,4)+1, 8, 10, 12, 14))</f>
        <v>0</v>
      </c>
      <c r="F38" s="1" t="str">
        <f>IF(INDEX(Hoja1!$A$1:$N$250, INT((ROW(A37)-1)/4)*13 + 3, CHOOSE(MOD(ROW(A37)-1,4)+1, 7, 9, 11, 13))=0, "", INDEX(Hoja1!$A$1:$N$250, INT((ROW(A37)-1)/4)*13 + 3, CHOOSE(MOD(ROW(A37)-1,4)+1, 7, 9, 11, 13)))</f>
        <v/>
      </c>
      <c r="G38" s="1" t="str">
        <f>IF(INDEX(Hoja1!$A$1:$N$250, INT((ROW(A37)-1)/4)*13 + 4, CHOOSE(MOD(ROW(A37)-1,4)+1, 7, 9, 11, 13))=0, "", INDEX(Hoja1!$A$1:$N$250, INT((ROW(A37)-1)/4)*13 + 4, CHOOSE(MOD(ROW(A37)-1,4)+1, 7, 9, 11, 13)))</f>
        <v/>
      </c>
    </row>
    <row r="39" spans="1:7">
      <c r="A39" s="110"/>
      <c r="B39" s="1"/>
      <c r="C39" s="1">
        <f>INDEX(Hoja1!$A$1:$N$250, INT((ROW(A38)-1)/4)*13 + 5, CHOOSE(MOD(ROW(A38)-1,4)+1, 8, 10, 12, 14))</f>
        <v>0</v>
      </c>
      <c r="D39" s="1">
        <f>INDEX(Hoja1!$A$1:$N$250, INT((ROW(A38)-1)/4)*13 + 6, CHOOSE(MOD(ROW(A38)-1,4)+1, 8, 10, 12, 14))</f>
        <v>0</v>
      </c>
      <c r="E39" s="1">
        <f>INDEX(Hoja1!$A$1:$N$250, INT((ROW(A38)-1)/4)*13 + 7, CHOOSE(MOD(ROW(A38)-1,4)+1, 8, 10, 12, 14))</f>
        <v>0</v>
      </c>
      <c r="F39" s="1" t="str">
        <f>IF(INDEX(Hoja1!$A$1:$N$250, INT((ROW(A38)-1)/4)*13 + 3, CHOOSE(MOD(ROW(A38)-1,4)+1, 7, 9, 11, 13))=0, "", INDEX(Hoja1!$A$1:$N$250, INT((ROW(A38)-1)/4)*13 + 3, CHOOSE(MOD(ROW(A38)-1,4)+1, 7, 9, 11, 13)))</f>
        <v/>
      </c>
      <c r="G39" s="1" t="str">
        <f>IF(INDEX(Hoja1!$A$1:$N$250, INT((ROW(A38)-1)/4)*13 + 4, CHOOSE(MOD(ROW(A38)-1,4)+1, 7, 9, 11, 13))=0, "", INDEX(Hoja1!$A$1:$N$250, INT((ROW(A38)-1)/4)*13 + 4, CHOOSE(MOD(ROW(A38)-1,4)+1, 7, 9, 11, 13)))</f>
        <v/>
      </c>
    </row>
    <row r="40" spans="1:7">
      <c r="A40" s="110"/>
      <c r="B40" s="1"/>
      <c r="C40" s="1">
        <f>INDEX(Hoja1!$A$1:$N$250, INT((ROW(A39)-1)/4)*13 + 5, CHOOSE(MOD(ROW(A39)-1,4)+1, 8, 10, 12, 14))</f>
        <v>0</v>
      </c>
      <c r="D40" s="1">
        <f>INDEX(Hoja1!$A$1:$N$250, INT((ROW(A39)-1)/4)*13 + 6, CHOOSE(MOD(ROW(A39)-1,4)+1, 8, 10, 12, 14))</f>
        <v>0</v>
      </c>
      <c r="E40" s="1">
        <f>INDEX(Hoja1!$A$1:$N$250, INT((ROW(A39)-1)/4)*13 + 7, CHOOSE(MOD(ROW(A39)-1,4)+1, 8, 10, 12, 14))</f>
        <v>0</v>
      </c>
      <c r="F40" s="1" t="str">
        <f>IF(INDEX(Hoja1!$A$1:$N$250, INT((ROW(A39)-1)/4)*13 + 3, CHOOSE(MOD(ROW(A39)-1,4)+1, 7, 9, 11, 13))=0, "", INDEX(Hoja1!$A$1:$N$250, INT((ROW(A39)-1)/4)*13 + 3, CHOOSE(MOD(ROW(A39)-1,4)+1, 7, 9, 11, 13)))</f>
        <v/>
      </c>
      <c r="G40" s="1" t="str">
        <f>IF(INDEX(Hoja1!$A$1:$N$250, INT((ROW(A39)-1)/4)*13 + 4, CHOOSE(MOD(ROW(A39)-1,4)+1, 7, 9, 11, 13))=0, "", INDEX(Hoja1!$A$1:$N$250, INT((ROW(A39)-1)/4)*13 + 4, CHOOSE(MOD(ROW(A39)-1,4)+1, 7, 9, 11, 13)))</f>
        <v/>
      </c>
    </row>
    <row r="41" spans="1:7">
      <c r="A41" s="110"/>
      <c r="B41" s="1"/>
      <c r="C41" s="1">
        <f>INDEX(Hoja1!$A$1:$N$250, INT((ROW(A40)-1)/4)*13 + 5, CHOOSE(MOD(ROW(A40)-1,4)+1, 8, 10, 12, 14))</f>
        <v>0</v>
      </c>
      <c r="D41" s="1">
        <f>INDEX(Hoja1!$A$1:$N$250, INT((ROW(A40)-1)/4)*13 + 6, CHOOSE(MOD(ROW(A40)-1,4)+1, 8, 10, 12, 14))</f>
        <v>0</v>
      </c>
      <c r="E41" s="1">
        <f>INDEX(Hoja1!$A$1:$N$250, INT((ROW(A40)-1)/4)*13 + 7, CHOOSE(MOD(ROW(A40)-1,4)+1, 8, 10, 12, 14))</f>
        <v>0</v>
      </c>
      <c r="F41" s="1" t="str">
        <f>IF(INDEX(Hoja1!$A$1:$N$250, INT((ROW(A40)-1)/4)*13 + 3, CHOOSE(MOD(ROW(A40)-1,4)+1, 7, 9, 11, 13))=0, "", INDEX(Hoja1!$A$1:$N$250, INT((ROW(A40)-1)/4)*13 + 3, CHOOSE(MOD(ROW(A40)-1,4)+1, 7, 9, 11, 13)))</f>
        <v/>
      </c>
      <c r="G41" s="1" t="str">
        <f>IF(INDEX(Hoja1!$A$1:$N$250, INT((ROW(A40)-1)/4)*13 + 4, CHOOSE(MOD(ROW(A40)-1,4)+1, 7, 9, 11, 13))=0, "", INDEX(Hoja1!$A$1:$N$250, INT((ROW(A40)-1)/4)*13 + 4, CHOOSE(MOD(ROW(A40)-1,4)+1, 7, 9, 11, 13)))</f>
        <v/>
      </c>
    </row>
  </sheetData>
  <mergeCells count="1">
    <mergeCell ref="A38:A4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4"/>
  <sheetViews>
    <sheetView topLeftCell="A2" workbookViewId="0">
      <selection activeCell="C2" sqref="C2"/>
    </sheetView>
  </sheetViews>
  <sheetFormatPr defaultColWidth="11.42578125" defaultRowHeight="15"/>
  <cols>
    <col min="2" max="2" width="11.5703125" bestFit="1" customWidth="1"/>
    <col min="9" max="9" width="14.140625" bestFit="1" customWidth="1"/>
  </cols>
  <sheetData>
    <row r="1" spans="1:16" s="1" customFormat="1">
      <c r="C1" s="1" t="s">
        <v>4</v>
      </c>
      <c r="D1" s="1" t="s">
        <v>6</v>
      </c>
      <c r="E1" s="1" t="s">
        <v>7</v>
      </c>
      <c r="F1" s="1" t="s">
        <v>8</v>
      </c>
    </row>
    <row r="2" spans="1:16">
      <c r="A2" s="116" t="s">
        <v>2</v>
      </c>
      <c r="B2" s="1" t="s">
        <v>51</v>
      </c>
      <c r="C2" s="54">
        <v>1.0411342592592594E-3</v>
      </c>
      <c r="D2" s="54">
        <v>1.0390046296296295E-3</v>
      </c>
      <c r="E2" s="54">
        <v>1.0461458333333334E-3</v>
      </c>
      <c r="F2" s="54">
        <v>1.0222453703703704E-3</v>
      </c>
      <c r="G2" s="54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16"/>
      <c r="B3" s="1" t="s">
        <v>52</v>
      </c>
      <c r="C3" s="54">
        <v>1.0291782407407407E-3</v>
      </c>
      <c r="D3" s="54">
        <v>1.0282638888888889E-3</v>
      </c>
      <c r="E3" s="54">
        <v>1.0374074074074075E-3</v>
      </c>
      <c r="F3" s="54">
        <v>1.0204282407407406E-3</v>
      </c>
      <c r="G3" s="54"/>
      <c r="H3" s="1"/>
      <c r="I3" s="1"/>
      <c r="J3" s="1"/>
      <c r="K3" s="1"/>
      <c r="L3" s="1"/>
      <c r="M3" s="1"/>
      <c r="N3" s="1"/>
      <c r="O3" s="1"/>
      <c r="P3" s="1"/>
    </row>
    <row r="4" spans="1:16">
      <c r="A4" s="116"/>
      <c r="B4" s="1" t="s">
        <v>53</v>
      </c>
      <c r="C4" s="54"/>
      <c r="D4" s="54"/>
      <c r="E4" s="54"/>
      <c r="F4" s="54"/>
      <c r="G4" s="54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16"/>
      <c r="B5" s="1" t="s">
        <v>51</v>
      </c>
      <c r="C5" s="54"/>
      <c r="D5" s="54"/>
      <c r="E5" s="54"/>
      <c r="F5" s="54"/>
      <c r="G5" s="54"/>
      <c r="H5" s="54"/>
      <c r="I5" s="54"/>
      <c r="J5" s="1"/>
      <c r="K5" s="1"/>
      <c r="L5" s="1"/>
      <c r="M5" s="1"/>
      <c r="N5" s="1"/>
      <c r="O5" s="1"/>
      <c r="P5" s="1"/>
    </row>
    <row r="6" spans="1:16">
      <c r="A6" s="116"/>
      <c r="B6" s="1" t="s">
        <v>52</v>
      </c>
      <c r="C6" s="54"/>
      <c r="D6" s="54"/>
      <c r="E6" s="54"/>
      <c r="F6" s="54"/>
      <c r="G6" s="54"/>
      <c r="H6" s="54"/>
      <c r="I6" s="54"/>
      <c r="J6" s="1"/>
      <c r="K6" s="1"/>
      <c r="L6" s="1"/>
      <c r="M6" s="1"/>
      <c r="N6" s="1"/>
      <c r="O6" s="1"/>
      <c r="P6" s="1"/>
    </row>
    <row r="7" spans="1:16">
      <c r="A7" s="116"/>
      <c r="B7" s="1" t="s">
        <v>53</v>
      </c>
      <c r="C7" s="54"/>
      <c r="D7" s="54"/>
      <c r="E7" s="54"/>
      <c r="F7" s="54"/>
      <c r="G7" s="54"/>
      <c r="H7" s="54"/>
      <c r="I7" s="54"/>
      <c r="J7" s="1"/>
      <c r="K7" s="1"/>
      <c r="L7" s="1"/>
      <c r="M7" s="1"/>
      <c r="N7" s="1"/>
      <c r="O7" s="1"/>
      <c r="P7" s="1"/>
    </row>
    <row r="8" spans="1:16">
      <c r="A8" s="116"/>
      <c r="B8" s="1" t="s">
        <v>51</v>
      </c>
      <c r="C8" s="54"/>
      <c r="D8" s="54"/>
      <c r="E8" s="54"/>
      <c r="F8" s="54"/>
      <c r="G8" s="54"/>
      <c r="H8" s="54"/>
      <c r="I8" s="54"/>
      <c r="J8" s="69"/>
      <c r="K8" s="1"/>
      <c r="L8" s="1"/>
      <c r="M8" s="1"/>
      <c r="N8" s="1"/>
      <c r="O8" s="1"/>
      <c r="P8" s="1"/>
    </row>
    <row r="9" spans="1:16">
      <c r="A9" s="116"/>
      <c r="B9" s="1" t="s">
        <v>52</v>
      </c>
      <c r="C9" s="54"/>
      <c r="D9" s="54"/>
      <c r="E9" s="54"/>
      <c r="F9" s="54"/>
      <c r="G9" s="54"/>
      <c r="H9" s="54"/>
      <c r="I9" s="54"/>
      <c r="J9" s="1"/>
      <c r="K9" s="1"/>
      <c r="L9" s="1"/>
      <c r="M9" s="1"/>
      <c r="N9" s="1"/>
      <c r="O9" s="1"/>
      <c r="P9" s="1"/>
    </row>
    <row r="10" spans="1:16">
      <c r="A10" s="116"/>
      <c r="B10" s="1" t="s">
        <v>53</v>
      </c>
      <c r="C10" s="54"/>
      <c r="D10" s="54"/>
      <c r="E10" s="54"/>
      <c r="F10" s="54"/>
      <c r="G10" s="54"/>
      <c r="H10" s="54"/>
      <c r="I10" s="69"/>
      <c r="J10" s="1"/>
      <c r="K10" s="1"/>
      <c r="L10" s="1"/>
      <c r="M10" s="1"/>
      <c r="N10" s="1"/>
      <c r="O10" s="1"/>
      <c r="P10" s="1"/>
    </row>
    <row r="11" spans="1:16">
      <c r="A11" s="116"/>
      <c r="B11" s="1" t="s">
        <v>51</v>
      </c>
      <c r="C11" s="54"/>
      <c r="D11" s="54"/>
      <c r="E11" s="54"/>
      <c r="F11" s="54"/>
      <c r="G11" s="54"/>
      <c r="H11" s="54"/>
      <c r="I11" s="54"/>
      <c r="J11" s="1"/>
      <c r="K11" s="1"/>
      <c r="L11" s="1"/>
      <c r="M11" s="1"/>
      <c r="N11" s="1"/>
      <c r="O11" s="1"/>
      <c r="P11" s="1"/>
    </row>
    <row r="12" spans="1:16">
      <c r="A12" s="116"/>
      <c r="B12" s="1" t="s">
        <v>52</v>
      </c>
      <c r="C12" s="54"/>
      <c r="D12" s="54"/>
      <c r="E12" s="54"/>
      <c r="F12" s="54"/>
      <c r="G12" s="54"/>
      <c r="H12" s="54"/>
      <c r="I12" s="54"/>
      <c r="J12" s="1"/>
      <c r="K12" s="1"/>
      <c r="L12" s="1"/>
      <c r="M12" s="1"/>
      <c r="N12" s="1"/>
      <c r="O12" s="1"/>
      <c r="P12" s="1"/>
    </row>
    <row r="13" spans="1:16">
      <c r="A13" s="116"/>
      <c r="B13" s="1" t="s">
        <v>53</v>
      </c>
      <c r="C13" s="54"/>
      <c r="D13" s="54"/>
      <c r="E13" s="54"/>
      <c r="F13" s="54"/>
      <c r="G13" s="54"/>
      <c r="H13" s="54"/>
      <c r="I13" s="54"/>
      <c r="J13" s="1"/>
      <c r="K13" s="1"/>
      <c r="L13" s="1"/>
      <c r="M13" s="1"/>
      <c r="N13" s="1"/>
      <c r="O13" s="1"/>
      <c r="P13" s="1">
        <f>4/9*100</f>
        <v>44.444444444444443</v>
      </c>
    </row>
    <row r="14" spans="1:16">
      <c r="A14" s="116"/>
      <c r="B14" s="1" t="s">
        <v>51</v>
      </c>
      <c r="C14" s="54"/>
      <c r="D14" s="54"/>
      <c r="E14" s="54"/>
      <c r="F14" s="54"/>
      <c r="G14" s="54"/>
      <c r="H14" s="1" cm="1">
        <f t="array" ref="H14">IFERROR(AVERAGE(IF(($B$2:$B$46="Clasificacion")*(C$2:C$46&gt;0),C$2:C$46)),0)</f>
        <v>1.0411342592592594E-3</v>
      </c>
      <c r="I14" s="1" cm="1">
        <f t="array" ref="I14">IFERROR(AVERAGE(IF(($B$2:$B$46="Clasificacion")*(D$2:D$46&gt;0),D$2:D$46)),0)</f>
        <v>1.0390046296296295E-3</v>
      </c>
      <c r="J14" s="1">
        <f t="array" ref="J14">IFERROR(AVERAGE(IF(($B$2:$B$46="Clasificacion")*(E$2:E$46&gt;0),E$2:E$46)),0)</f>
        <v>1.0461458333333334E-3</v>
      </c>
      <c r="K14" s="1">
        <f t="array" ref="K14">IFERROR(AVERAGE(IF(($B$2:$B$46="Clasificacion")*(F$2:F$46&gt;0),F$2:F$46)),0)</f>
        <v>1.0222453703703704E-3</v>
      </c>
      <c r="L14" s="1"/>
      <c r="M14" s="1"/>
      <c r="N14" s="1"/>
      <c r="O14" s="1"/>
      <c r="P14" s="1">
        <f>2/9*100</f>
        <v>22.222222222222221</v>
      </c>
    </row>
    <row r="15" spans="1:16">
      <c r="A15" s="116"/>
      <c r="B15" s="1" t="s">
        <v>52</v>
      </c>
      <c r="C15" s="54"/>
      <c r="D15" s="54"/>
      <c r="E15" s="54"/>
      <c r="F15" s="54"/>
      <c r="G15" s="54"/>
      <c r="H15" s="1" cm="1">
        <f t="array" ref="H15">IFERROR(AVERAGE(IF(($B$2:$B$46="VR Carrera 1")*(C$2:C$46&gt;0),C$2:C$46)),0)</f>
        <v>1.0291782407407407E-3</v>
      </c>
      <c r="I15" s="1" cm="1">
        <f t="array" ref="I15">IFERROR(AVERAGE(IF(($B$2:$B$46="VR Carrera 1")*(D$2:D$46&gt;0),D$2:D$46)),0)</f>
        <v>1.0282638888888889E-3</v>
      </c>
      <c r="J15" s="1">
        <f>IFERROR(AVERAGEIFS(E$2:E$46, $B$2:$B$46, "VR Carrera 1", E$2:E$46, "&gt;0"), 0)</f>
        <v>1.0374074074074075E-3</v>
      </c>
      <c r="K15" s="1" cm="1">
        <f t="array" ref="K15">IFERROR(AVERAGE(IF(($B$2:$B$46="VR Carrera 1")*(F$2:F$46&gt;0),F$2:F$46)),0)</f>
        <v>1.0204282407407406E-3</v>
      </c>
      <c r="L15" s="1"/>
      <c r="M15" s="1"/>
      <c r="N15" s="1"/>
      <c r="O15" s="1"/>
      <c r="P15" s="1"/>
    </row>
    <row r="16" spans="1:16">
      <c r="A16" s="116"/>
      <c r="B16" s="1" t="s">
        <v>53</v>
      </c>
      <c r="C16" s="54"/>
      <c r="D16" s="54"/>
      <c r="E16" s="54"/>
      <c r="F16" s="54"/>
      <c r="G16" s="54"/>
      <c r="H16" s="1">
        <f t="array" ref="H16">IFERROR(AVERAGE(IF(($B$2:$B$46="VR Carrera 2")*(C$2:C$46&gt;0),C$2:C$46)),0)</f>
        <v>0</v>
      </c>
      <c r="I16" s="1">
        <f t="array" ref="I16">IFERROR(AVERAGE(IF(($B$2:$B$46="VR Carrera 2")*(D$2:D$46&gt;0),D$2:D$46)),0)</f>
        <v>0</v>
      </c>
      <c r="J16" s="1">
        <f>IFERROR(AVERAGE(IF(($B$2:$B$46="VR Carrera 2")*(E$2:E$46&gt;0),E$2:E$46)),0)</f>
        <v>0</v>
      </c>
      <c r="K16" s="1" cm="1">
        <f t="array" ref="K16">IFERROR(AVERAGE(IF(($B$2:$B$46="VR Carrera 2")*(F$2:F$46&gt;0),F$2:F$46)),0)</f>
        <v>0</v>
      </c>
      <c r="L16" s="1"/>
      <c r="M16" s="1"/>
      <c r="N16" s="1"/>
      <c r="O16" s="1"/>
      <c r="P16" s="1"/>
    </row>
    <row r="17" spans="1:18">
      <c r="A17" s="116"/>
      <c r="B17" s="1" t="s">
        <v>51</v>
      </c>
      <c r="C17" s="54"/>
      <c r="D17" s="54"/>
      <c r="E17" s="54"/>
      <c r="F17" s="54"/>
      <c r="G17" s="54"/>
      <c r="H17" s="54"/>
      <c r="I17" s="54"/>
      <c r="J17" s="1"/>
      <c r="K17" s="1"/>
      <c r="L17" s="1"/>
      <c r="M17" s="1"/>
      <c r="N17" s="1"/>
      <c r="O17" s="1"/>
      <c r="P17" s="1"/>
      <c r="Q17" s="1"/>
      <c r="R17" s="1"/>
    </row>
    <row r="18" spans="1:18">
      <c r="A18" s="116"/>
      <c r="B18" s="1" t="s">
        <v>52</v>
      </c>
      <c r="C18" s="54"/>
      <c r="D18" s="54"/>
      <c r="E18" s="54"/>
      <c r="F18" s="54"/>
      <c r="G18" s="54"/>
      <c r="H18" s="54"/>
      <c r="I18" s="54"/>
      <c r="J18" s="1"/>
      <c r="K18" s="1"/>
      <c r="L18" s="1"/>
      <c r="M18" s="1"/>
      <c r="N18" s="1"/>
      <c r="O18" s="1"/>
      <c r="P18" s="70"/>
      <c r="Q18" s="1"/>
      <c r="R18" s="1">
        <f>25*0.75</f>
        <v>18.75</v>
      </c>
    </row>
    <row r="19" spans="1:18">
      <c r="A19" s="116"/>
      <c r="B19" s="1" t="s">
        <v>53</v>
      </c>
      <c r="C19" s="54"/>
      <c r="D19" s="54"/>
      <c r="E19" s="54"/>
      <c r="F19" s="54"/>
      <c r="G19" s="54"/>
      <c r="H19" s="54"/>
      <c r="I19" s="54"/>
      <c r="J19" s="1"/>
      <c r="K19" s="1"/>
      <c r="L19" s="1"/>
      <c r="M19" s="1"/>
      <c r="N19" s="1"/>
      <c r="O19" s="1"/>
      <c r="P19" s="1"/>
      <c r="Q19" s="1"/>
      <c r="R19" s="1"/>
    </row>
    <row r="20" spans="1:18">
      <c r="A20" s="116"/>
      <c r="B20" s="1" t="s">
        <v>51</v>
      </c>
      <c r="C20" s="54"/>
      <c r="D20" s="54"/>
      <c r="E20" s="54"/>
      <c r="F20" s="54"/>
      <c r="G20" s="54"/>
      <c r="H20" s="54"/>
      <c r="I20" s="54"/>
      <c r="J20" s="1"/>
      <c r="K20" s="1"/>
      <c r="L20" s="1"/>
      <c r="M20" s="1"/>
      <c r="N20" s="1"/>
      <c r="O20" s="1"/>
      <c r="P20" s="1"/>
      <c r="Q20" s="1"/>
      <c r="R20" s="1"/>
    </row>
    <row r="21" spans="1:18">
      <c r="A21" s="116"/>
      <c r="B21" s="1" t="s">
        <v>52</v>
      </c>
      <c r="C21" s="54"/>
      <c r="D21" s="54"/>
      <c r="E21" s="54"/>
      <c r="F21" s="54"/>
      <c r="G21" s="54"/>
      <c r="H21" s="54"/>
      <c r="I21" s="54"/>
      <c r="J21" s="1"/>
      <c r="K21" s="1"/>
      <c r="L21" s="1"/>
      <c r="M21" s="1"/>
      <c r="N21" s="1"/>
      <c r="O21" s="1"/>
      <c r="P21" s="1"/>
      <c r="Q21" s="1"/>
      <c r="R21" s="1"/>
    </row>
    <row r="22" spans="1:18">
      <c r="A22" s="116"/>
      <c r="B22" s="1" t="s">
        <v>53</v>
      </c>
      <c r="C22" s="54"/>
      <c r="D22" s="54"/>
      <c r="E22" s="54"/>
      <c r="F22" s="54"/>
      <c r="G22" s="54"/>
      <c r="H22" s="54"/>
      <c r="I22" s="54"/>
      <c r="J22" s="1"/>
      <c r="K22" s="1"/>
      <c r="L22" s="1"/>
      <c r="M22" s="1"/>
      <c r="N22" s="1"/>
      <c r="O22" s="1"/>
      <c r="P22" s="1"/>
      <c r="Q22" s="1"/>
      <c r="R22" s="1"/>
    </row>
    <row r="23" spans="1:18">
      <c r="A23" s="116"/>
      <c r="B23" s="1" t="s">
        <v>51</v>
      </c>
      <c r="C23" s="54"/>
      <c r="D23" s="54"/>
      <c r="E23" s="54"/>
      <c r="F23" s="54"/>
      <c r="G23" s="54"/>
      <c r="H23" s="54"/>
      <c r="I23" s="54"/>
      <c r="J23" s="1"/>
      <c r="K23" s="1"/>
      <c r="L23" s="1"/>
      <c r="M23" s="1"/>
      <c r="N23" s="1"/>
      <c r="O23" s="1"/>
      <c r="P23" s="1"/>
      <c r="Q23" s="1"/>
      <c r="R23" s="1"/>
    </row>
    <row r="24" spans="1:18">
      <c r="A24" s="116"/>
      <c r="B24" s="1" t="s">
        <v>52</v>
      </c>
      <c r="C24" s="128"/>
      <c r="D24" s="128"/>
      <c r="E24" s="128"/>
      <c r="F24" s="128"/>
      <c r="G24" s="54"/>
      <c r="H24" s="54"/>
      <c r="I24" s="54"/>
      <c r="J24" s="1"/>
      <c r="K24" s="1"/>
      <c r="L24" s="1"/>
      <c r="M24" s="1"/>
      <c r="N24" s="1"/>
      <c r="O24" s="1"/>
      <c r="P24" s="1"/>
      <c r="Q24" s="1"/>
      <c r="R24" s="1"/>
    </row>
    <row r="25" spans="1:18">
      <c r="A25" s="116"/>
      <c r="B25" s="1" t="s">
        <v>53</v>
      </c>
      <c r="C25" s="54"/>
      <c r="D25" s="54"/>
      <c r="E25" s="54"/>
      <c r="F25" s="54"/>
      <c r="G25" s="54"/>
      <c r="H25" s="54"/>
      <c r="I25" s="54"/>
      <c r="J25" s="1"/>
      <c r="K25" s="1"/>
      <c r="L25" s="1"/>
      <c r="M25" s="1"/>
      <c r="N25" s="1"/>
      <c r="O25" s="1"/>
      <c r="P25" s="1"/>
      <c r="Q25" s="1"/>
      <c r="R25" s="1"/>
    </row>
    <row r="26" spans="1:18">
      <c r="A26" s="116"/>
      <c r="B26" s="1" t="s">
        <v>51</v>
      </c>
      <c r="C26" s="54"/>
      <c r="D26" s="54"/>
      <c r="E26" s="54"/>
      <c r="F26" s="54"/>
      <c r="G26" s="54"/>
      <c r="H26" s="54"/>
      <c r="I26" s="54"/>
      <c r="J26" s="1"/>
      <c r="K26" s="1"/>
      <c r="L26" s="1"/>
      <c r="M26" s="1"/>
      <c r="N26" s="1"/>
      <c r="O26" s="1"/>
      <c r="P26" s="1"/>
      <c r="Q26" s="1"/>
      <c r="R26" s="1"/>
    </row>
    <row r="27" spans="1:18">
      <c r="A27" s="116"/>
      <c r="B27" s="1" t="s">
        <v>52</v>
      </c>
      <c r="C27" s="54"/>
      <c r="D27" s="54"/>
      <c r="E27" s="54"/>
      <c r="F27" s="54"/>
      <c r="G27" s="54"/>
      <c r="H27" s="54"/>
      <c r="I27" s="54"/>
      <c r="J27" s="1"/>
      <c r="K27" s="1"/>
      <c r="L27" s="1"/>
      <c r="M27" s="1"/>
      <c r="N27" s="1"/>
      <c r="O27" s="1"/>
      <c r="P27" s="1"/>
      <c r="Q27" s="1"/>
      <c r="R27" s="1"/>
    </row>
    <row r="28" spans="1:18">
      <c r="A28" s="116"/>
      <c r="B28" s="1" t="s">
        <v>53</v>
      </c>
      <c r="C28" s="54"/>
      <c r="D28" s="54"/>
      <c r="E28" s="54"/>
      <c r="F28" s="54"/>
      <c r="G28" s="54"/>
      <c r="H28" s="54"/>
      <c r="I28" s="54"/>
      <c r="J28" s="1"/>
      <c r="K28" s="1"/>
      <c r="L28" s="1"/>
      <c r="M28" s="1"/>
      <c r="N28" s="1"/>
      <c r="O28" s="1"/>
      <c r="P28" s="1"/>
      <c r="Q28" s="1"/>
      <c r="R28" s="1"/>
    </row>
    <row r="29" spans="1:18">
      <c r="A29" s="116"/>
      <c r="B29" s="1" t="s">
        <v>51</v>
      </c>
      <c r="C29" s="54"/>
      <c r="D29" s="54"/>
      <c r="E29" s="54"/>
      <c r="F29" s="54"/>
      <c r="G29" s="54"/>
      <c r="H29" s="54"/>
      <c r="I29" s="54"/>
      <c r="J29" s="1"/>
      <c r="K29" s="1"/>
      <c r="L29" s="1"/>
      <c r="M29" s="1"/>
      <c r="N29" s="1"/>
      <c r="O29" s="1"/>
      <c r="P29" s="1"/>
      <c r="Q29" s="1"/>
      <c r="R29" s="1"/>
    </row>
    <row r="30" spans="1:18">
      <c r="A30" s="116"/>
      <c r="B30" s="1" t="s">
        <v>52</v>
      </c>
      <c r="C30" s="54"/>
      <c r="D30" s="54"/>
      <c r="E30" s="54"/>
      <c r="F30" s="54"/>
      <c r="G30" s="54"/>
      <c r="H30" s="54"/>
      <c r="I30" s="54"/>
      <c r="J30" s="1"/>
      <c r="K30" s="1"/>
      <c r="L30" s="1"/>
      <c r="M30" s="1"/>
      <c r="N30" s="1"/>
      <c r="O30" s="1"/>
      <c r="P30" s="1"/>
      <c r="Q30" s="1"/>
      <c r="R30" s="1"/>
    </row>
    <row r="31" spans="1:18">
      <c r="A31" s="116"/>
      <c r="B31" s="1" t="s">
        <v>53</v>
      </c>
      <c r="C31" s="1"/>
      <c r="D31" s="1"/>
      <c r="E31" s="1"/>
      <c r="F31" s="1"/>
      <c r="G31" s="1"/>
      <c r="H31" s="1"/>
      <c r="I31" s="54"/>
      <c r="J31" s="1"/>
      <c r="K31" s="1"/>
      <c r="L31" s="1"/>
      <c r="M31" s="1"/>
      <c r="N31" s="1"/>
      <c r="O31" s="1"/>
      <c r="P31" s="1"/>
      <c r="Q31" s="1"/>
      <c r="R31" s="1"/>
    </row>
    <row r="32" spans="1:18">
      <c r="A32" s="116"/>
      <c r="B32" s="1" t="s">
        <v>51</v>
      </c>
      <c r="C32" s="54"/>
      <c r="D32" s="54"/>
      <c r="E32" s="54"/>
      <c r="F32" s="54"/>
      <c r="G32" s="54"/>
      <c r="H32" s="54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2">
      <c r="A33" s="116"/>
      <c r="B33" s="1" t="s">
        <v>52</v>
      </c>
    </row>
    <row r="34" spans="1:2">
      <c r="A34" s="116"/>
      <c r="B34" s="1" t="s">
        <v>53</v>
      </c>
    </row>
  </sheetData>
  <mergeCells count="11">
    <mergeCell ref="A32:A34"/>
    <mergeCell ref="A23:A25"/>
    <mergeCell ref="A26:A28"/>
    <mergeCell ref="A29:A31"/>
    <mergeCell ref="A2:A4"/>
    <mergeCell ref="A5:A7"/>
    <mergeCell ref="A8:A10"/>
    <mergeCell ref="A11:A13"/>
    <mergeCell ref="A14:A16"/>
    <mergeCell ref="A17:A19"/>
    <mergeCell ref="A20:A2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32"/>
  <sheetViews>
    <sheetView zoomScale="85" zoomScaleNormal="85" workbookViewId="0">
      <pane xSplit="1" ySplit="1" topLeftCell="B2" activePane="bottomRight" state="frozen"/>
      <selection pane="bottomRight" activeCell="G1" sqref="G1"/>
      <selection pane="bottomLeft" activeCell="A2" sqref="A2"/>
      <selection pane="topRight" activeCell="B1" sqref="B1"/>
    </sheetView>
  </sheetViews>
  <sheetFormatPr defaultColWidth="11.42578125" defaultRowHeight="15"/>
  <cols>
    <col min="9" max="9" width="12.140625" bestFit="1" customWidth="1"/>
  </cols>
  <sheetData>
    <row r="1" spans="1:19">
      <c r="A1" s="1"/>
      <c r="B1" s="1"/>
      <c r="C1" s="68"/>
      <c r="D1" s="55"/>
      <c r="E1" s="60"/>
      <c r="F1" s="55"/>
      <c r="G1" s="55"/>
      <c r="H1" s="55"/>
      <c r="I1" s="55"/>
      <c r="J1" s="55"/>
      <c r="K1" s="55"/>
      <c r="L1" s="55"/>
      <c r="M1" s="55"/>
      <c r="N1" s="1"/>
      <c r="O1" s="1"/>
      <c r="P1" s="1"/>
      <c r="Q1" s="1"/>
      <c r="R1" s="1"/>
      <c r="S1" s="1"/>
    </row>
    <row r="2" spans="1:19">
      <c r="A2" s="118" t="s">
        <v>2</v>
      </c>
      <c r="B2" s="60" t="s">
        <v>51</v>
      </c>
      <c r="C2" s="65">
        <f>+IF('Carga Tiempos'!C2=MIN('Carga Tiempos'!$C2:$F2),'Carga Tiempos'!C2,'Carga Tiempos'!C2-MIN('Carga Tiempos'!$C2:$F2))</f>
        <v>1.8888888888889035E-5</v>
      </c>
      <c r="D2" s="64">
        <f>+IF('Carga Tiempos'!D2=MIN('Carga Tiempos'!$C2:$F2),'Carga Tiempos'!D2,'Carga Tiempos'!D2-MIN('Carga Tiempos'!$C2:$F2))</f>
        <v>1.6759259259259114E-5</v>
      </c>
      <c r="E2" s="59">
        <f>+IF('Carga Tiempos'!E2=MIN('Carga Tiempos'!$C2:$F2),'Carga Tiempos'!E2,'Carga Tiempos'!E2-MIN('Carga Tiempos'!$C2:$F2))</f>
        <v>2.3900462962962981E-5</v>
      </c>
      <c r="F2" s="64">
        <f>+IF('Carga Tiempos'!F2=MIN('Carga Tiempos'!$C2:$F2),'Carga Tiempos'!F2,'Carga Tiempos'!F2-MIN('Carga Tiempos'!$C2:$F2))</f>
        <v>1.0222453703703704E-3</v>
      </c>
      <c r="G2" s="64">
        <f>+IF('Carga Tiempos'!G2=MIN('Carga Tiempos'!$C2:$F2),'Carga Tiempos'!G2,'Carga Tiempos'!G2-MIN('Carga Tiempos'!$C2:$F2))</f>
        <v>-1.0222453703703704E-3</v>
      </c>
      <c r="H2" s="64">
        <f>+IF('Carga Tiempos'!H2=MIN('Carga Tiempos'!$C2:$F2),'Carga Tiempos'!H2,'Carga Tiempos'!H2-MIN('Carga Tiempos'!$C2:$F2))</f>
        <v>-1.0222453703703704E-3</v>
      </c>
      <c r="I2" s="64">
        <f>+IF('Carga Tiempos'!I2=MIN('Carga Tiempos'!$C2:$F2),'Carga Tiempos'!I2,'Carga Tiempos'!I2-MIN('Carga Tiempos'!$C2:$F2))</f>
        <v>-1.0222453703703704E-3</v>
      </c>
      <c r="J2" s="64">
        <f>+IF('Carga Tiempos'!J2=MIN('Carga Tiempos'!$C2:$F2),'Carga Tiempos'!J2,'Carga Tiempos'!J2-MIN('Carga Tiempos'!$C2:$F2))</f>
        <v>-1.0222453703703704E-3</v>
      </c>
      <c r="K2" s="64">
        <f>+IF('Carga Tiempos'!K2=MIN('Carga Tiempos'!$C2:$F2),'Carga Tiempos'!K2,'Carga Tiempos'!K2-MIN('Carga Tiempos'!$C2:$F2))</f>
        <v>-1.0222453703703704E-3</v>
      </c>
      <c r="L2" s="64">
        <f>+IF('Carga Tiempos'!L2=MIN('Carga Tiempos'!$C2:$F2),'Carga Tiempos'!L2,'Carga Tiempos'!L2-MIN('Carga Tiempos'!$C2:$F2))</f>
        <v>-1.0222453703703704E-3</v>
      </c>
      <c r="M2" s="64">
        <f>+IF('Carga Tiempos'!M2=MIN('Carga Tiempos'!$C2:$F2),'Carga Tiempos'!M2,'Carga Tiempos'!M2-MIN('Carga Tiempos'!$C2:$F2))</f>
        <v>-1.0222453703703704E-3</v>
      </c>
      <c r="N2" s="1"/>
      <c r="O2" s="1"/>
      <c r="P2" s="1"/>
      <c r="Q2" s="1"/>
      <c r="R2" s="1"/>
      <c r="S2" s="1"/>
    </row>
    <row r="3" spans="1:19">
      <c r="A3" s="119"/>
      <c r="B3" s="58" t="s">
        <v>52</v>
      </c>
      <c r="C3" s="65">
        <f>+IF('Carga Tiempos'!C3=MIN('Carga Tiempos'!$C3:$F3),'Carga Tiempos'!C3,'Carga Tiempos'!C3-MIN('Carga Tiempos'!$C3:$F3))</f>
        <v>8.7500000000000772E-6</v>
      </c>
      <c r="D3" s="65">
        <f>+IF('Carga Tiempos'!D3=MIN('Carga Tiempos'!$C3:$F3),'Carga Tiempos'!D3,'Carga Tiempos'!D3-MIN('Carga Tiempos'!$C3:$F3))</f>
        <v>7.8356481481483067E-6</v>
      </c>
      <c r="E3" s="65">
        <f>+IF('Carga Tiempos'!E3=MIN('Carga Tiempos'!$C3:$F3),'Carga Tiempos'!E3,'Carga Tiempos'!E3-MIN('Carga Tiempos'!$C3:$F3))</f>
        <v>1.6979166666666878E-5</v>
      </c>
      <c r="F3" s="64">
        <f>+IF('Carga Tiempos'!F3=MIN('Carga Tiempos'!$C3:$F3),'Carga Tiempos'!F3,'Carga Tiempos'!F3-MIN('Carga Tiempos'!$C3:$F3))</f>
        <v>1.0204282407407406E-3</v>
      </c>
      <c r="G3" s="64">
        <f>+IF('Carga Tiempos'!G3=MIN('Carga Tiempos'!$C3:$F3),'Carga Tiempos'!G3,'Carga Tiempos'!G3-MIN('Carga Tiempos'!$C3:$F3))</f>
        <v>-1.0204282407407406E-3</v>
      </c>
      <c r="H3" s="64">
        <f>+IF('Carga Tiempos'!H3=MIN('Carga Tiempos'!$C3:$F3),'Carga Tiempos'!H3,'Carga Tiempos'!H3-MIN('Carga Tiempos'!$C3:$F3))</f>
        <v>-1.0204282407407406E-3</v>
      </c>
      <c r="I3" s="64">
        <f>+IF('Carga Tiempos'!I3=MIN('Carga Tiempos'!$C3:$F3),'Carga Tiempos'!I3,'Carga Tiempos'!I3-MIN('Carga Tiempos'!$C3:$F3))</f>
        <v>-1.0204282407407406E-3</v>
      </c>
      <c r="J3" s="64">
        <f>+IF('Carga Tiempos'!J3=MIN('Carga Tiempos'!$C3:$F3),'Carga Tiempos'!J3,'Carga Tiempos'!J3-MIN('Carga Tiempos'!$C3:$F3))</f>
        <v>-1.0204282407407406E-3</v>
      </c>
      <c r="K3" s="64">
        <f>+IF('Carga Tiempos'!K3=MIN('Carga Tiempos'!$C3:$F3),'Carga Tiempos'!K3,'Carga Tiempos'!K3-MIN('Carga Tiempos'!$C3:$F3))</f>
        <v>-1.0204282407407406E-3</v>
      </c>
      <c r="L3" s="64">
        <f>+IF('Carga Tiempos'!L3=MIN('Carga Tiempos'!$C3:$F3),'Carga Tiempos'!L3,'Carga Tiempos'!L3-MIN('Carga Tiempos'!$C3:$F3))</f>
        <v>-1.0204282407407406E-3</v>
      </c>
      <c r="M3" s="64">
        <f>+IF('Carga Tiempos'!M3=MIN('Carga Tiempos'!$C3:$F3),'Carga Tiempos'!M3,'Carga Tiempos'!M3-MIN('Carga Tiempos'!$C3:$F3))</f>
        <v>-1.0204282407407406E-3</v>
      </c>
      <c r="N3" s="1"/>
      <c r="O3" s="1"/>
      <c r="P3" s="1"/>
      <c r="Q3" s="1"/>
      <c r="R3" s="1"/>
      <c r="S3" s="1"/>
    </row>
    <row r="4" spans="1:19">
      <c r="A4" s="119"/>
      <c r="B4" s="58" t="s">
        <v>53</v>
      </c>
      <c r="C4" s="65">
        <f>+IF('Carga Tiempos'!C4=MIN('Carga Tiempos'!$C4:$F4),'Carga Tiempos'!C4,'Carga Tiempos'!C4-MIN('Carga Tiempos'!$C4:$F4))</f>
        <v>0</v>
      </c>
      <c r="D4" s="65">
        <f>+IF('Carga Tiempos'!D4=MIN('Carga Tiempos'!$C4:$F4),'Carga Tiempos'!D4,'Carga Tiempos'!D4-MIN('Carga Tiempos'!$C4:$F4))</f>
        <v>0</v>
      </c>
      <c r="E4" s="65">
        <f>+IF('Carga Tiempos'!E4=MIN('Carga Tiempos'!$C4:$F4),'Carga Tiempos'!E4,'Carga Tiempos'!E4-MIN('Carga Tiempos'!$C4:$F4))</f>
        <v>0</v>
      </c>
      <c r="F4" s="64">
        <f>+IF('Carga Tiempos'!F4=MIN('Carga Tiempos'!$C4:$F4),'Carga Tiempos'!F4,'Carga Tiempos'!F4-MIN('Carga Tiempos'!$C4:$F4))</f>
        <v>0</v>
      </c>
      <c r="G4" s="64">
        <f>+IF('Carga Tiempos'!G4=MIN('Carga Tiempos'!$C4:$F4),'Carga Tiempos'!G4,'Carga Tiempos'!G4-MIN('Carga Tiempos'!$C4:$F4))</f>
        <v>0</v>
      </c>
      <c r="H4" s="64">
        <f>+IF('Carga Tiempos'!H4=MIN('Carga Tiempos'!$C4:$F4),'Carga Tiempos'!H4,'Carga Tiempos'!H4-MIN('Carga Tiempos'!$C4:$F4))</f>
        <v>0</v>
      </c>
      <c r="I4" s="64">
        <f>+IF('Carga Tiempos'!I4=MIN('Carga Tiempos'!$C4:$F4),'Carga Tiempos'!I4,'Carga Tiempos'!I4-MIN('Carga Tiempos'!$C4:$F4))</f>
        <v>0</v>
      </c>
      <c r="J4" s="64">
        <f>+IF('Carga Tiempos'!J4=MIN('Carga Tiempos'!$C4:$F4),'Carga Tiempos'!J4,'Carga Tiempos'!J4-MIN('Carga Tiempos'!$C4:$F4))</f>
        <v>0</v>
      </c>
      <c r="K4" s="64">
        <f>+IF('Carga Tiempos'!K4=MIN('Carga Tiempos'!$C4:$F4),'Carga Tiempos'!K4,'Carga Tiempos'!K4-MIN('Carga Tiempos'!$C4:$F4))</f>
        <v>0</v>
      </c>
      <c r="L4" s="64">
        <f>+IF('Carga Tiempos'!L4=MIN('Carga Tiempos'!$C4:$F4),'Carga Tiempos'!L4,'Carga Tiempos'!L4-MIN('Carga Tiempos'!$C4:$F4))</f>
        <v>0</v>
      </c>
      <c r="M4" s="64">
        <f>+IF('Carga Tiempos'!M4=MIN('Carga Tiempos'!$C4:$F4),'Carga Tiempos'!M4,'Carga Tiempos'!M4-MIN('Carga Tiempos'!$C4:$F4))</f>
        <v>0</v>
      </c>
      <c r="N4" s="1"/>
      <c r="O4" s="1"/>
      <c r="P4" s="1"/>
      <c r="Q4" s="1"/>
      <c r="R4" s="1"/>
      <c r="S4" s="1"/>
    </row>
    <row r="5" spans="1:19">
      <c r="A5" s="118"/>
      <c r="B5" s="60" t="s">
        <v>51</v>
      </c>
      <c r="C5" s="66"/>
      <c r="D5" s="56"/>
      <c r="E5" s="61"/>
      <c r="F5" s="56"/>
      <c r="G5" s="56"/>
      <c r="H5" s="56"/>
      <c r="I5" s="56"/>
      <c r="J5" s="56"/>
      <c r="K5" s="56"/>
      <c r="L5" s="56"/>
      <c r="M5" s="56"/>
      <c r="N5" s="1"/>
      <c r="O5" s="1"/>
      <c r="P5" s="1"/>
      <c r="Q5" s="1"/>
      <c r="R5" s="1"/>
      <c r="S5" s="1"/>
    </row>
    <row r="6" spans="1:19">
      <c r="A6" s="119"/>
      <c r="B6" s="58" t="s">
        <v>52</v>
      </c>
      <c r="C6" s="65"/>
      <c r="D6" s="64"/>
      <c r="E6" s="59"/>
      <c r="F6" s="64"/>
      <c r="G6" s="64"/>
      <c r="H6" s="64"/>
      <c r="I6" s="64"/>
      <c r="J6" s="64"/>
      <c r="K6" s="64"/>
      <c r="L6" s="64"/>
      <c r="M6" s="64"/>
      <c r="N6" s="1"/>
      <c r="O6" s="1"/>
      <c r="P6" s="1"/>
      <c r="Q6" s="1"/>
      <c r="R6" s="1"/>
      <c r="S6" s="1"/>
    </row>
    <row r="7" spans="1:19">
      <c r="A7" s="120"/>
      <c r="B7" s="62" t="s">
        <v>53</v>
      </c>
      <c r="C7" s="67"/>
      <c r="D7" s="57"/>
      <c r="E7" s="63"/>
      <c r="F7" s="57"/>
      <c r="G7" s="57"/>
      <c r="H7" s="57"/>
      <c r="I7" s="57"/>
      <c r="J7" s="57"/>
      <c r="K7" s="57"/>
      <c r="L7" s="57"/>
      <c r="M7" s="57"/>
      <c r="N7" s="1"/>
      <c r="O7" s="1"/>
      <c r="P7" s="1"/>
      <c r="Q7" s="1"/>
      <c r="R7" s="1"/>
      <c r="S7" s="1"/>
    </row>
    <row r="8" spans="1:19">
      <c r="A8" s="119"/>
      <c r="B8" s="60" t="s">
        <v>51</v>
      </c>
      <c r="C8" s="65"/>
      <c r="D8" s="64"/>
      <c r="E8" s="59"/>
      <c r="F8" s="64"/>
      <c r="G8" s="64"/>
      <c r="H8" s="64"/>
      <c r="I8" s="64"/>
      <c r="J8" s="64"/>
      <c r="K8" s="64"/>
      <c r="L8" s="64"/>
      <c r="M8" s="64"/>
      <c r="N8" s="1"/>
      <c r="O8" s="1"/>
      <c r="P8" s="1"/>
      <c r="Q8" s="1"/>
      <c r="R8" s="1"/>
      <c r="S8" s="1"/>
    </row>
    <row r="9" spans="1:19">
      <c r="A9" s="119"/>
      <c r="B9" s="58" t="s">
        <v>52</v>
      </c>
      <c r="C9" s="65"/>
      <c r="D9" s="64"/>
      <c r="E9" s="59"/>
      <c r="F9" s="64"/>
      <c r="G9" s="64"/>
      <c r="H9" s="64"/>
      <c r="I9" s="64"/>
      <c r="J9" s="64"/>
      <c r="K9" s="64"/>
      <c r="L9" s="64"/>
      <c r="M9" s="64"/>
      <c r="N9" s="1"/>
      <c r="O9" s="1"/>
      <c r="P9" s="1" t="s">
        <v>54</v>
      </c>
      <c r="Q9" s="1" t="s">
        <v>4</v>
      </c>
      <c r="R9" s="1" t="s">
        <v>55</v>
      </c>
      <c r="S9" s="1" t="s">
        <v>56</v>
      </c>
    </row>
    <row r="10" spans="1:19">
      <c r="A10" s="120"/>
      <c r="B10" s="62" t="s">
        <v>53</v>
      </c>
      <c r="C10" s="67">
        <f>+IF('Carga Tiempos'!C10=MIN('Carga Tiempos'!$C10:$F10),'Carga Tiempos'!C10,'Carga Tiempos'!C10-MIN('Carga Tiempos'!$C10:$F10))</f>
        <v>0</v>
      </c>
      <c r="D10" s="57">
        <f>+IF('Carga Tiempos'!D10=MIN('Carga Tiempos'!$C10:$F10),'Carga Tiempos'!D10,'Carga Tiempos'!D10-MIN('Carga Tiempos'!$C10:$F10))</f>
        <v>0</v>
      </c>
      <c r="E10" s="63">
        <f>+IF('Carga Tiempos'!E10=MIN('Carga Tiempos'!$C10:$F10),'Carga Tiempos'!E10,'Carga Tiempos'!E10-MIN('Carga Tiempos'!$C10:$F10))</f>
        <v>0</v>
      </c>
      <c r="F10" s="57">
        <f>+IF('Carga Tiempos'!F10=MIN('Carga Tiempos'!$C10:$F10),'Carga Tiempos'!F10,'Carga Tiempos'!F10-MIN('Carga Tiempos'!$C10:$F10))</f>
        <v>0</v>
      </c>
      <c r="G10" s="57">
        <f>+IF('Carga Tiempos'!G10=MIN('Carga Tiempos'!$C10:$F10),'Carga Tiempos'!G10,'Carga Tiempos'!G10-MIN('Carga Tiempos'!$C10:$F10))</f>
        <v>0</v>
      </c>
      <c r="H10" s="57">
        <f>+IF('Carga Tiempos'!H10=MIN('Carga Tiempos'!$C10:$F10),'Carga Tiempos'!H10,'Carga Tiempos'!H10-MIN('Carga Tiempos'!$C10:$F10))</f>
        <v>0</v>
      </c>
      <c r="I10" s="57">
        <f>+IF('Carga Tiempos'!I10=MIN('Carga Tiempos'!$C10:$F10),'Carga Tiempos'!I10,'Carga Tiempos'!I10-MIN('Carga Tiempos'!$C10:$F10))</f>
        <v>0</v>
      </c>
      <c r="J10" s="57">
        <f>+IF('Carga Tiempos'!J10=MIN('Carga Tiempos'!$C10:$F10),'Carga Tiempos'!J10,'Carga Tiempos'!J10-MIN('Carga Tiempos'!$C10:$F10))</f>
        <v>0</v>
      </c>
      <c r="K10" s="57">
        <f>+IF('Carga Tiempos'!K10=MIN('Carga Tiempos'!$C10:$F10),'Carga Tiempos'!K10,'Carga Tiempos'!K10-MIN('Carga Tiempos'!$C10:$F10))</f>
        <v>0</v>
      </c>
      <c r="L10" s="57">
        <f>+IF('Carga Tiempos'!L10=MIN('Carga Tiempos'!$C10:$F10),'Carga Tiempos'!L10,'Carga Tiempos'!L10-MIN('Carga Tiempos'!$C10:$F10))</f>
        <v>0</v>
      </c>
      <c r="M10" s="57">
        <f>+IF('Carga Tiempos'!M10=MIN('Carga Tiempos'!$C10:$F10),'Carga Tiempos'!M10,'Carga Tiempos'!M10-MIN('Carga Tiempos'!$C10:$F10))</f>
        <v>0</v>
      </c>
      <c r="N10" s="1"/>
      <c r="O10" s="1"/>
      <c r="P10" s="1" t="s">
        <v>25</v>
      </c>
      <c r="Q10" s="1">
        <f>IF('Carga Tiempos'!H14=MIN('Carga Tiempos'!$H14,'Carga Tiempos'!$I14,'Carga Tiempos'!$K14),0,'Carga Tiempos'!H14-MIN('Carga Tiempos'!$H14,'Carga Tiempos'!$I14,'Carga Tiempos'!$K14))</f>
        <v>1.8888888888889035E-5</v>
      </c>
      <c r="R10" s="1">
        <f>IF('Carga Tiempos'!I14=MIN('Carga Tiempos'!$H14,'Carga Tiempos'!$I14,'Carga Tiempos'!$K14),0,'Carga Tiempos'!I14-MIN('Carga Tiempos'!$H14,'Carga Tiempos'!$I14,'Carga Tiempos'!$K14))</f>
        <v>1.6759259259259114E-5</v>
      </c>
      <c r="S10" s="1">
        <f>IF('Carga Tiempos'!K14=MIN('Carga Tiempos'!$H14,'Carga Tiempos'!$I14,'Carga Tiempos'!$K14),0,'Carga Tiempos'!K14-MIN('Carga Tiempos'!$H14,'Carga Tiempos'!$I14,'Carga Tiempos'!$K14))</f>
        <v>0</v>
      </c>
    </row>
    <row r="11" spans="1:19">
      <c r="A11" s="119"/>
      <c r="B11" s="60" t="s">
        <v>51</v>
      </c>
      <c r="C11" s="65">
        <f>+IF('Carga Tiempos'!C11=MIN('Carga Tiempos'!$C11:$F11),'Carga Tiempos'!C11,'Carga Tiempos'!C11-MIN('Carga Tiempos'!$C11:$F11))</f>
        <v>0</v>
      </c>
      <c r="D11" s="64">
        <f>+IF('Carga Tiempos'!D11=MIN('Carga Tiempos'!$C11:$F11),'Carga Tiempos'!D11,'Carga Tiempos'!D11-MIN('Carga Tiempos'!$C11:$F11))</f>
        <v>0</v>
      </c>
      <c r="E11" s="64">
        <f>+IF('Carga Tiempos'!E11=MIN('Carga Tiempos'!$C11:$F11),'Carga Tiempos'!E11,'Carga Tiempos'!E11-MIN('Carga Tiempos'!$C11:$F11))</f>
        <v>0</v>
      </c>
      <c r="F11" s="64">
        <f>+IF('Carga Tiempos'!F11=MIN('Carga Tiempos'!$C11:$F11),'Carga Tiempos'!F11,'Carga Tiempos'!F11-MIN('Carga Tiempos'!$C11:$F11))</f>
        <v>0</v>
      </c>
      <c r="G11" s="64">
        <f>+IF('Carga Tiempos'!G11=MIN('Carga Tiempos'!$C11:$F11),'Carga Tiempos'!G11,'Carga Tiempos'!G11-MIN('Carga Tiempos'!$C11:$F11))</f>
        <v>0</v>
      </c>
      <c r="H11" s="64">
        <f>+IF('Carga Tiempos'!H11=MIN('Carga Tiempos'!$C11:$F11),'Carga Tiempos'!H11,'Carga Tiempos'!H11-MIN('Carga Tiempos'!$C11:$F11))</f>
        <v>0</v>
      </c>
      <c r="I11" s="64">
        <f>+IF('Carga Tiempos'!I11=MIN('Carga Tiempos'!$C11:$F11),'Carga Tiempos'!I11,'Carga Tiempos'!I11-MIN('Carga Tiempos'!$C11:$F11))</f>
        <v>0</v>
      </c>
      <c r="J11" s="64">
        <f>+IF('Carga Tiempos'!J11=MIN('Carga Tiempos'!$C11:$F11),'Carga Tiempos'!J11,'Carga Tiempos'!J11-MIN('Carga Tiempos'!$C11:$F11))</f>
        <v>0</v>
      </c>
      <c r="K11" s="64">
        <f>+IF('Carga Tiempos'!K11=MIN('Carga Tiempos'!$C11:$F11),'Carga Tiempos'!K11,'Carga Tiempos'!K11-MIN('Carga Tiempos'!$C11:$F11))</f>
        <v>0</v>
      </c>
      <c r="L11" s="64">
        <f>+IF('Carga Tiempos'!L11=MIN('Carga Tiempos'!$C11:$F11),'Carga Tiempos'!L11,'Carga Tiempos'!L11-MIN('Carga Tiempos'!$C11:$F11))</f>
        <v>0</v>
      </c>
      <c r="M11" s="64">
        <f>+IF('Carga Tiempos'!M11=MIN('Carga Tiempos'!$C11:$F11),'Carga Tiempos'!M11,'Carga Tiempos'!M11-MIN('Carga Tiempos'!$C11:$F11))</f>
        <v>0</v>
      </c>
      <c r="N11" s="1"/>
      <c r="O11" s="1"/>
      <c r="P11" s="1" t="s">
        <v>30</v>
      </c>
      <c r="Q11" s="1">
        <f>IF('Carga Tiempos'!H15=MIN('Carga Tiempos'!$H15,'Carga Tiempos'!$I15,'Carga Tiempos'!$K15),0,'Carga Tiempos'!H15-MIN('Carga Tiempos'!$H15,'Carga Tiempos'!$I15,'Carga Tiempos'!$K15))</f>
        <v>8.7500000000000772E-6</v>
      </c>
      <c r="R11" s="54">
        <f>IF('Carga Tiempos'!I15=MIN('Carga Tiempos'!$H15,'Carga Tiempos'!$I15,'Carga Tiempos'!$K15),0,'Carga Tiempos'!I15-MIN('Carga Tiempos'!$H15,'Carga Tiempos'!$I15,'Carga Tiempos'!$K15))</f>
        <v>7.8356481481483067E-6</v>
      </c>
      <c r="S11" s="1">
        <f>IF('Carga Tiempos'!K15=MIN('Carga Tiempos'!$H15,'Carga Tiempos'!$I15,'Carga Tiempos'!$K15),0,'Carga Tiempos'!K15-MIN('Carga Tiempos'!$H15,'Carga Tiempos'!$I15,'Carga Tiempos'!$K15))</f>
        <v>0</v>
      </c>
    </row>
    <row r="12" spans="1:19">
      <c r="A12" s="119"/>
      <c r="B12" s="58" t="s">
        <v>52</v>
      </c>
      <c r="C12" s="65"/>
      <c r="D12" s="64"/>
      <c r="E12" s="54"/>
      <c r="F12" s="64"/>
      <c r="G12" s="64"/>
      <c r="H12" s="64"/>
      <c r="I12" s="64"/>
      <c r="J12" s="64"/>
      <c r="K12" s="64"/>
      <c r="L12" s="64"/>
      <c r="M12" s="64"/>
      <c r="N12" s="1"/>
      <c r="O12" s="1"/>
      <c r="P12" s="1" t="s">
        <v>41</v>
      </c>
      <c r="Q12" s="1">
        <f>IF('Carga Tiempos'!H16=MIN('Carga Tiempos'!$H16,'Carga Tiempos'!$I16,'Carga Tiempos'!$K16),0,'Carga Tiempos'!H16-MIN('Carga Tiempos'!$H16,'Carga Tiempos'!$I16,'Carga Tiempos'!$K16))</f>
        <v>0</v>
      </c>
      <c r="R12" s="1">
        <f>IF('Carga Tiempos'!I16=MIN('Carga Tiempos'!$H16,'Carga Tiempos'!$I16,'Carga Tiempos'!$K16),0,'Carga Tiempos'!I16-MIN('Carga Tiempos'!$H16,'Carga Tiempos'!$I16,'Carga Tiempos'!$K16))</f>
        <v>0</v>
      </c>
      <c r="S12" s="1">
        <f>IF('Carga Tiempos'!K16=MIN('Carga Tiempos'!$H16,'Carga Tiempos'!$I16,'Carga Tiempos'!$K16),0,'Carga Tiempos'!K16-MIN('Carga Tiempos'!$H16,'Carga Tiempos'!$I16,'Carga Tiempos'!$K16))</f>
        <v>0</v>
      </c>
    </row>
    <row r="13" spans="1:19">
      <c r="A13" s="119"/>
      <c r="B13" s="58" t="s">
        <v>53</v>
      </c>
      <c r="C13" s="65"/>
      <c r="D13" s="64"/>
      <c r="E13" s="54"/>
      <c r="F13" s="64"/>
      <c r="G13" s="64"/>
      <c r="H13" s="64"/>
      <c r="I13" s="64"/>
      <c r="J13" s="64"/>
      <c r="K13" s="64"/>
      <c r="L13" s="64"/>
      <c r="M13" s="64"/>
      <c r="N13" s="1"/>
      <c r="O13" s="1"/>
      <c r="P13" s="1"/>
      <c r="Q13" s="1"/>
      <c r="R13" s="1"/>
      <c r="S13" s="1"/>
    </row>
    <row r="14" spans="1:19">
      <c r="A14" s="118"/>
      <c r="B14" s="60" t="s">
        <v>51</v>
      </c>
      <c r="C14" s="66">
        <f>+IF('Carga Tiempos'!C14=MIN('Carga Tiempos'!$C14:$F14),'Carga Tiempos'!C14,'Carga Tiempos'!C14-MIN('Carga Tiempos'!$C14:$F14))</f>
        <v>0</v>
      </c>
      <c r="D14" s="56">
        <f>+IF('Carga Tiempos'!D14=MIN('Carga Tiempos'!$C14:$F14),'Carga Tiempos'!D14,'Carga Tiempos'!D14-MIN('Carga Tiempos'!$C14:$F14))</f>
        <v>0</v>
      </c>
      <c r="E14" s="61">
        <f>+IF('Carga Tiempos'!E14=MIN('Carga Tiempos'!$C14:$F14),'Carga Tiempos'!E14,'Carga Tiempos'!E14-MIN('Carga Tiempos'!$C14:$F14))</f>
        <v>0</v>
      </c>
      <c r="F14" s="56">
        <f>+IF('Carga Tiempos'!F14=MIN('Carga Tiempos'!$C14:$F14),'Carga Tiempos'!F14,'Carga Tiempos'!F14-MIN('Carga Tiempos'!$C14:$F14))</f>
        <v>0</v>
      </c>
      <c r="G14" s="56">
        <f>+IF('Carga Tiempos'!G14=MIN('Carga Tiempos'!$C14:$F14),'Carga Tiempos'!G14,'Carga Tiempos'!G14-MIN('Carga Tiempos'!$C14:$F14))</f>
        <v>0</v>
      </c>
      <c r="H14" s="56">
        <f>+IF('Carga Tiempos'!H14=MIN('Carga Tiempos'!$C14:$F14),'Carga Tiempos'!H14,'Carga Tiempos'!H14-MIN('Carga Tiempos'!$C14:$F14))</f>
        <v>1.0411342592592594E-3</v>
      </c>
      <c r="I14" s="56">
        <f>+IF('Carga Tiempos'!I14=MIN('Carga Tiempos'!$C14:$F14),'Carga Tiempos'!I14,'Carga Tiempos'!I14-MIN('Carga Tiempos'!$C14:$F14))</f>
        <v>1.0390046296296295E-3</v>
      </c>
      <c r="J14" s="56">
        <f>+IF('Carga Tiempos'!J14=MIN('Carga Tiempos'!$C14:$F14),'Carga Tiempos'!J14,'Carga Tiempos'!J14-MIN('Carga Tiempos'!$C14:$F14))</f>
        <v>1.0461458333333334E-3</v>
      </c>
      <c r="K14" s="56">
        <f>+IF('Carga Tiempos'!K14=MIN('Carga Tiempos'!$C14:$F14),'Carga Tiempos'!K14,'Carga Tiempos'!K14-MIN('Carga Tiempos'!$C14:$F14))</f>
        <v>1.0222453703703704E-3</v>
      </c>
      <c r="L14" s="56">
        <f>+IF('Carga Tiempos'!L14=MIN('Carga Tiempos'!$C14:$F14),'Carga Tiempos'!L14,'Carga Tiempos'!L14-MIN('Carga Tiempos'!$C14:$F14))</f>
        <v>0</v>
      </c>
      <c r="M14" s="56">
        <f>+IF('Carga Tiempos'!M14=MIN('Carga Tiempos'!$C14:$F14),'Carga Tiempos'!M14,'Carga Tiempos'!M14-MIN('Carga Tiempos'!$C14:$F14))</f>
        <v>0</v>
      </c>
      <c r="N14" s="1"/>
      <c r="O14" s="1"/>
      <c r="P14" s="1"/>
      <c r="Q14" s="1"/>
      <c r="R14" s="1"/>
      <c r="S14" s="1"/>
    </row>
    <row r="15" spans="1:19">
      <c r="A15" s="119"/>
      <c r="B15" s="58" t="s">
        <v>52</v>
      </c>
      <c r="C15" s="65">
        <f>+IF('Carga Tiempos'!C15=MIN('Carga Tiempos'!$C15:$F15),'Carga Tiempos'!C15,'Carga Tiempos'!C15-MIN('Carga Tiempos'!$C15:$F15))</f>
        <v>0</v>
      </c>
      <c r="D15" s="64">
        <f>+IF('Carga Tiempos'!D15=MIN('Carga Tiempos'!$C15:$F15),'Carga Tiempos'!D15,'Carga Tiempos'!D15-MIN('Carga Tiempos'!$C15:$F15))</f>
        <v>0</v>
      </c>
      <c r="E15" s="59">
        <f>+IF('Carga Tiempos'!E15=MIN('Carga Tiempos'!$C15:$F15),'Carga Tiempos'!E15,'Carga Tiempos'!E15-MIN('Carga Tiempos'!$C15:$F15))</f>
        <v>0</v>
      </c>
      <c r="F15" s="64">
        <f>+IF('Carga Tiempos'!F15=MIN('Carga Tiempos'!$C15:$F15),'Carga Tiempos'!F15,'Carga Tiempos'!F15-MIN('Carga Tiempos'!$C15:$F15))</f>
        <v>0</v>
      </c>
      <c r="G15" s="64">
        <f>+IF('Carga Tiempos'!G15=MIN('Carga Tiempos'!$C15:$F15),'Carga Tiempos'!G15,'Carga Tiempos'!G15-MIN('Carga Tiempos'!$C15:$F15))</f>
        <v>0</v>
      </c>
      <c r="H15" s="64">
        <f>+IF('Carga Tiempos'!H15=MIN('Carga Tiempos'!$C15:$F15),'Carga Tiempos'!H15,'Carga Tiempos'!H15-MIN('Carga Tiempos'!$C15:$F15))</f>
        <v>1.0291782407407407E-3</v>
      </c>
      <c r="I15" s="64">
        <f>+IF('Carga Tiempos'!I15=MIN('Carga Tiempos'!$C15:$F15),'Carga Tiempos'!I15,'Carga Tiempos'!I15-MIN('Carga Tiempos'!$C15:$F15))</f>
        <v>1.0282638888888889E-3</v>
      </c>
      <c r="J15" s="64">
        <f>+IF('Carga Tiempos'!J15=MIN('Carga Tiempos'!$C15:$F15),'Carga Tiempos'!J15,'Carga Tiempos'!J15-MIN('Carga Tiempos'!$C15:$F15))</f>
        <v>1.0374074074074075E-3</v>
      </c>
      <c r="K15" s="64">
        <f>+IF('Carga Tiempos'!K15=MIN('Carga Tiempos'!$C15:$F15),'Carga Tiempos'!K15,'Carga Tiempos'!K15-MIN('Carga Tiempos'!$C15:$F15))</f>
        <v>1.0204282407407406E-3</v>
      </c>
      <c r="L15" s="64">
        <f>+IF('Carga Tiempos'!L15=MIN('Carga Tiempos'!$C15:$F15),'Carga Tiempos'!L15,'Carga Tiempos'!L15-MIN('Carga Tiempos'!$C15:$F15))</f>
        <v>0</v>
      </c>
      <c r="M15" s="64">
        <f>+IF('Carga Tiempos'!M15=MIN('Carga Tiempos'!$C15:$F15),'Carga Tiempos'!M15,'Carga Tiempos'!M15-MIN('Carga Tiempos'!$C15:$F15))</f>
        <v>0</v>
      </c>
      <c r="N15" s="1"/>
      <c r="O15" s="1"/>
      <c r="P15" s="1"/>
      <c r="Q15" s="1"/>
      <c r="R15" s="1"/>
      <c r="S15" s="1"/>
    </row>
    <row r="16" spans="1:19">
      <c r="A16" s="120"/>
      <c r="B16" s="62" t="s">
        <v>53</v>
      </c>
      <c r="C16" s="67">
        <f>+IF('Carga Tiempos'!C16=MIN('Carga Tiempos'!$C16:$F16),'Carga Tiempos'!C16,'Carga Tiempos'!C16-MIN('Carga Tiempos'!$C16:$F16))</f>
        <v>0</v>
      </c>
      <c r="D16" s="57">
        <f>+IF('Carga Tiempos'!D16=MIN('Carga Tiempos'!$C16:$F16),'Carga Tiempos'!D16,'Carga Tiempos'!D16-MIN('Carga Tiempos'!$C16:$F16))</f>
        <v>0</v>
      </c>
      <c r="E16" s="63">
        <f>+IF('Carga Tiempos'!E16=MIN('Carga Tiempos'!$C16:$F16),'Carga Tiempos'!E16,'Carga Tiempos'!E16-MIN('Carga Tiempos'!$C16:$F16))</f>
        <v>0</v>
      </c>
      <c r="F16" s="57">
        <f>+IF('Carga Tiempos'!F16=MIN('Carga Tiempos'!$C16:$F16),'Carga Tiempos'!F16,'Carga Tiempos'!F16-MIN('Carga Tiempos'!$C16:$F16))</f>
        <v>0</v>
      </c>
      <c r="G16" s="57">
        <f>+IF('Carga Tiempos'!G16=MIN('Carga Tiempos'!$C16:$F16),'Carga Tiempos'!G16,'Carga Tiempos'!G16-MIN('Carga Tiempos'!$C16:$F16))</f>
        <v>0</v>
      </c>
      <c r="H16" s="57">
        <f>+IF('Carga Tiempos'!H16=MIN('Carga Tiempos'!$C16:$F16),'Carga Tiempos'!H16,'Carga Tiempos'!H16-MIN('Carga Tiempos'!$C16:$F16))</f>
        <v>0</v>
      </c>
      <c r="I16" s="57">
        <f>+IF('Carga Tiempos'!I16=MIN('Carga Tiempos'!$C16:$F16),'Carga Tiempos'!I16,'Carga Tiempos'!I16-MIN('Carga Tiempos'!$C16:$F16))</f>
        <v>0</v>
      </c>
      <c r="J16" s="57">
        <f>+IF('Carga Tiempos'!J16=MIN('Carga Tiempos'!$C16:$F16),'Carga Tiempos'!J16,'Carga Tiempos'!J16-MIN('Carga Tiempos'!$C16:$F16))</f>
        <v>0</v>
      </c>
      <c r="K16" s="57">
        <f>+IF('Carga Tiempos'!K16=MIN('Carga Tiempos'!$C16:$F16),'Carga Tiempos'!K16,'Carga Tiempos'!K16-MIN('Carga Tiempos'!$C16:$F16))</f>
        <v>0</v>
      </c>
      <c r="L16" s="57">
        <f>+IF('Carga Tiempos'!L16=MIN('Carga Tiempos'!$C16:$F16),'Carga Tiempos'!L16,'Carga Tiempos'!L16-MIN('Carga Tiempos'!$C16:$F16))</f>
        <v>0</v>
      </c>
      <c r="M16" s="57">
        <f>+IF('Carga Tiempos'!M16=MIN('Carga Tiempos'!$C16:$F16),'Carga Tiempos'!M16,'Carga Tiempos'!M16-MIN('Carga Tiempos'!$C16:$F16))</f>
        <v>0</v>
      </c>
      <c r="N16" s="1"/>
      <c r="O16" s="1"/>
      <c r="P16" s="1"/>
      <c r="Q16" s="1"/>
      <c r="R16" s="1"/>
      <c r="S16" s="1"/>
    </row>
    <row r="17" spans="1:16">
      <c r="A17" s="119"/>
      <c r="B17" s="58" t="s">
        <v>51</v>
      </c>
      <c r="C17" s="65">
        <f>+IF('Carga Tiempos'!C17=MIN('Carga Tiempos'!$C17:$F17),'Carga Tiempos'!C17,'Carga Tiempos'!C17-MIN('Carga Tiempos'!$C17:$F17))</f>
        <v>0</v>
      </c>
      <c r="D17" s="64">
        <f>+IF('Carga Tiempos'!D17=MIN('Carga Tiempos'!$C17:$F17),'Carga Tiempos'!D17,'Carga Tiempos'!D17-MIN('Carga Tiempos'!$C17:$F17))</f>
        <v>0</v>
      </c>
      <c r="E17" s="59">
        <f>+IF('Carga Tiempos'!E17=MIN('Carga Tiempos'!$C17:$F17),'Carga Tiempos'!E17,'Carga Tiempos'!E17-MIN('Carga Tiempos'!$C17:$F17))</f>
        <v>0</v>
      </c>
      <c r="F17" s="64">
        <f>+IF('Carga Tiempos'!F17=MIN('Carga Tiempos'!$C17:$F17),'Carga Tiempos'!F17,'Carga Tiempos'!F17-MIN('Carga Tiempos'!$C17:$F17))</f>
        <v>0</v>
      </c>
      <c r="G17" s="64">
        <f>+IF('Carga Tiempos'!G17=MIN('Carga Tiempos'!$C17:$F17),'Carga Tiempos'!G17,'Carga Tiempos'!G17-MIN('Carga Tiempos'!$C17:$F17))</f>
        <v>0</v>
      </c>
      <c r="H17" s="64">
        <f>+IF('Carga Tiempos'!H17=MIN('Carga Tiempos'!$C17:$F17),'Carga Tiempos'!H17,'Carga Tiempos'!H17-MIN('Carga Tiempos'!$C17:$F17))</f>
        <v>0</v>
      </c>
      <c r="I17" s="64">
        <f>+IF('Carga Tiempos'!I17=MIN('Carga Tiempos'!$C17:$F17),'Carga Tiempos'!I17,'Carga Tiempos'!I17-MIN('Carga Tiempos'!$C17:$F17))</f>
        <v>0</v>
      </c>
      <c r="J17" s="64">
        <f>+IF('Carga Tiempos'!J17=MIN('Carga Tiempos'!$C17:$F17),'Carga Tiempos'!J17,'Carga Tiempos'!J17-MIN('Carga Tiempos'!$C17:$F17))</f>
        <v>0</v>
      </c>
      <c r="K17" s="64">
        <f>+IF('Carga Tiempos'!K17=MIN('Carga Tiempos'!$C17:$F17),'Carga Tiempos'!K17,'Carga Tiempos'!K17-MIN('Carga Tiempos'!$C17:$F17))</f>
        <v>0</v>
      </c>
      <c r="L17" s="64">
        <f>+IF('Carga Tiempos'!L17=MIN('Carga Tiempos'!$C17:$F17),'Carga Tiempos'!L17,'Carga Tiempos'!L17-MIN('Carga Tiempos'!$C17:$F17))</f>
        <v>0</v>
      </c>
      <c r="M17" s="64">
        <f>+IF('Carga Tiempos'!M17=MIN('Carga Tiempos'!$C17:$F17),'Carga Tiempos'!M17,'Carga Tiempos'!M17-MIN('Carga Tiempos'!$C17:$F17))</f>
        <v>0</v>
      </c>
      <c r="N17" s="1"/>
      <c r="O17" s="1"/>
      <c r="P17" s="1"/>
    </row>
    <row r="18" spans="1:16">
      <c r="A18" s="119"/>
      <c r="B18" s="58" t="s">
        <v>52</v>
      </c>
      <c r="C18" s="65">
        <f>+IF('Carga Tiempos'!C18=MIN('Carga Tiempos'!$C18:$F18),'Carga Tiempos'!C18,'Carga Tiempos'!C18-MIN('Carga Tiempos'!$C18:$F18))</f>
        <v>0</v>
      </c>
      <c r="D18" s="64">
        <f>+IF('Carga Tiempos'!D18=MIN('Carga Tiempos'!$C18:$F18),'Carga Tiempos'!D18,'Carga Tiempos'!D18-MIN('Carga Tiempos'!$C18:$F18))</f>
        <v>0</v>
      </c>
      <c r="E18" s="59">
        <f>+IF('Carga Tiempos'!E18=MIN('Carga Tiempos'!$C18:$F18),'Carga Tiempos'!E18,'Carga Tiempos'!E18-MIN('Carga Tiempos'!$C18:$F18))</f>
        <v>0</v>
      </c>
      <c r="F18" s="64">
        <f>+IF('Carga Tiempos'!F18=MIN('Carga Tiempos'!$C18:$F18),'Carga Tiempos'!F18,'Carga Tiempos'!F18-MIN('Carga Tiempos'!$C18:$F18))</f>
        <v>0</v>
      </c>
      <c r="G18" s="64">
        <f>+IF('Carga Tiempos'!G18=MIN('Carga Tiempos'!$C18:$F18),'Carga Tiempos'!G18,'Carga Tiempos'!G18-MIN('Carga Tiempos'!$C18:$F18))</f>
        <v>0</v>
      </c>
      <c r="H18" s="64">
        <f>+IF('Carga Tiempos'!H18=MIN('Carga Tiempos'!$C18:$F18),'Carga Tiempos'!H18,'Carga Tiempos'!H18-MIN('Carga Tiempos'!$C18:$F18))</f>
        <v>0</v>
      </c>
      <c r="I18" s="64">
        <f>+IF('Carga Tiempos'!I18=MIN('Carga Tiempos'!$C18:$F18),'Carga Tiempos'!I18,'Carga Tiempos'!I18-MIN('Carga Tiempos'!$C18:$F18))</f>
        <v>0</v>
      </c>
      <c r="J18" s="64">
        <f>+IF('Carga Tiempos'!J18=MIN('Carga Tiempos'!$C18:$F18),'Carga Tiempos'!J18,'Carga Tiempos'!J18-MIN('Carga Tiempos'!$C18:$F18))</f>
        <v>0</v>
      </c>
      <c r="K18" s="64">
        <f>+IF('Carga Tiempos'!K18=MIN('Carga Tiempos'!$C18:$F18),'Carga Tiempos'!K18,'Carga Tiempos'!K18-MIN('Carga Tiempos'!$C18:$F18))</f>
        <v>0</v>
      </c>
      <c r="L18" s="64">
        <f>+IF('Carga Tiempos'!L18=MIN('Carga Tiempos'!$C18:$F18),'Carga Tiempos'!L18,'Carga Tiempos'!L18-MIN('Carga Tiempos'!$C18:$F18))</f>
        <v>0</v>
      </c>
      <c r="M18" s="64">
        <f>+IF('Carga Tiempos'!M18=MIN('Carga Tiempos'!$C18:$F18),'Carga Tiempos'!M18,'Carga Tiempos'!M18-MIN('Carga Tiempos'!$C18:$F18))</f>
        <v>0</v>
      </c>
      <c r="N18" s="54"/>
      <c r="O18" s="54"/>
      <c r="P18" s="1"/>
    </row>
    <row r="19" spans="1:16">
      <c r="A19" s="119"/>
      <c r="B19" s="58" t="s">
        <v>53</v>
      </c>
      <c r="C19" s="65">
        <f>+IF('Carga Tiempos'!C19=MIN('Carga Tiempos'!$C19:$F19),'Carga Tiempos'!C19,'Carga Tiempos'!C19-MIN('Carga Tiempos'!$C19:$F19))</f>
        <v>0</v>
      </c>
      <c r="D19" s="64">
        <f>+IF('Carga Tiempos'!D19=MIN('Carga Tiempos'!$C19:$F19),'Carga Tiempos'!D19,'Carga Tiempos'!D19-MIN('Carga Tiempos'!$C19:$F19))</f>
        <v>0</v>
      </c>
      <c r="E19" s="59">
        <f>+IF('Carga Tiempos'!E19=MIN('Carga Tiempos'!$C19:$F19),'Carga Tiempos'!E19,'Carga Tiempos'!E19-MIN('Carga Tiempos'!$C19:$F19))</f>
        <v>0</v>
      </c>
      <c r="F19" s="64">
        <f>+IF('Carga Tiempos'!F19=MIN('Carga Tiempos'!$C19:$F19),'Carga Tiempos'!F19,'Carga Tiempos'!F19-MIN('Carga Tiempos'!$C19:$F19))</f>
        <v>0</v>
      </c>
      <c r="G19" s="64">
        <f>+IF('Carga Tiempos'!G19=MIN('Carga Tiempos'!$C19:$F19),'Carga Tiempos'!G19,'Carga Tiempos'!G19-MIN('Carga Tiempos'!$C19:$F19))</f>
        <v>0</v>
      </c>
      <c r="H19" s="64">
        <f>+IF('Carga Tiempos'!H19=MIN('Carga Tiempos'!$C19:$F19),'Carga Tiempos'!H19,'Carga Tiempos'!H19-MIN('Carga Tiempos'!$C19:$F19))</f>
        <v>0</v>
      </c>
      <c r="I19" s="64">
        <f>+IF('Carga Tiempos'!I19=MIN('Carga Tiempos'!$C19:$F19),'Carga Tiempos'!I19,'Carga Tiempos'!I19-MIN('Carga Tiempos'!$C19:$F19))</f>
        <v>0</v>
      </c>
      <c r="J19" s="64">
        <f>+IF('Carga Tiempos'!J19=MIN('Carga Tiempos'!$C19:$F19),'Carga Tiempos'!J19,'Carga Tiempos'!J19-MIN('Carga Tiempos'!$C19:$F19))</f>
        <v>0</v>
      </c>
      <c r="K19" s="64">
        <f>+IF('Carga Tiempos'!K19=MIN('Carga Tiempos'!$C19:$F19),'Carga Tiempos'!K19,'Carga Tiempos'!K19-MIN('Carga Tiempos'!$C19:$F19))</f>
        <v>0</v>
      </c>
      <c r="L19" s="64">
        <f>+IF('Carga Tiempos'!L19=MIN('Carga Tiempos'!$C19:$F19),'Carga Tiempos'!L19,'Carga Tiempos'!L19-MIN('Carga Tiempos'!$C19:$F19))</f>
        <v>0</v>
      </c>
      <c r="M19" s="64">
        <f>+IF('Carga Tiempos'!M19=MIN('Carga Tiempos'!$C19:$F19),'Carga Tiempos'!M19,'Carga Tiempos'!M19-MIN('Carga Tiempos'!$C19:$F19))</f>
        <v>0</v>
      </c>
      <c r="N19" s="1"/>
      <c r="O19" s="1"/>
      <c r="P19" s="1"/>
    </row>
    <row r="20" spans="1:16">
      <c r="A20" s="118"/>
      <c r="B20" s="60" t="s">
        <v>51</v>
      </c>
      <c r="C20" s="66">
        <f>+IF('Carga Tiempos'!C20=MIN('Carga Tiempos'!$C20:$F20),'Carga Tiempos'!C20,'Carga Tiempos'!C20-MIN('Carga Tiempos'!$C20:$F20))</f>
        <v>0</v>
      </c>
      <c r="D20" s="66">
        <f>+IF('Carga Tiempos'!D20=MIN('Carga Tiempos'!$C20:$F20),'Carga Tiempos'!D20,'Carga Tiempos'!D20-MIN('Carga Tiempos'!$C20:$F20))</f>
        <v>0</v>
      </c>
      <c r="E20" s="66">
        <f>+IF('Carga Tiempos'!E20=MIN('Carga Tiempos'!$C20:$F20),'Carga Tiempos'!E20,'Carga Tiempos'!E20-MIN('Carga Tiempos'!$C20:$F20))</f>
        <v>0</v>
      </c>
      <c r="F20" s="56">
        <f>+IF('Carga Tiempos'!F20=MIN('Carga Tiempos'!$C20:$F20),'Carga Tiempos'!F20,'Carga Tiempos'!F20-MIN('Carga Tiempos'!$C20:$F20))</f>
        <v>0</v>
      </c>
      <c r="G20" s="56">
        <f>+IF('Carga Tiempos'!G20=MIN('Carga Tiempos'!$C20:$F20),'Carga Tiempos'!G20,'Carga Tiempos'!G20-MIN('Carga Tiempos'!$C20:$F20))</f>
        <v>0</v>
      </c>
      <c r="H20" s="56">
        <f>+IF('Carga Tiempos'!H20=MIN('Carga Tiempos'!$C20:$F20),'Carga Tiempos'!H20,'Carga Tiempos'!H20-MIN('Carga Tiempos'!$C20:$F20))</f>
        <v>0</v>
      </c>
      <c r="I20" s="56">
        <f>+IF('Carga Tiempos'!I20=MIN('Carga Tiempos'!$C20:$F20),'Carga Tiempos'!I20,'Carga Tiempos'!I20-MIN('Carga Tiempos'!$C20:$F20))</f>
        <v>0</v>
      </c>
      <c r="J20" s="56">
        <f>+IF('Carga Tiempos'!J20=MIN('Carga Tiempos'!$C20:$F20),'Carga Tiempos'!J20,'Carga Tiempos'!J20-MIN('Carga Tiempos'!$C20:$F20))</f>
        <v>0</v>
      </c>
      <c r="K20" s="56">
        <f>+IF('Carga Tiempos'!K20=MIN('Carga Tiempos'!$C20:$F20),'Carga Tiempos'!K20,'Carga Tiempos'!K20-MIN('Carga Tiempos'!$C20:$F20))</f>
        <v>0</v>
      </c>
      <c r="L20" s="56">
        <f>+IF('Carga Tiempos'!L20=MIN('Carga Tiempos'!$C20:$F20),'Carga Tiempos'!L20,'Carga Tiempos'!L20-MIN('Carga Tiempos'!$C20:$F20))</f>
        <v>0</v>
      </c>
      <c r="M20" s="56">
        <f>+IF('Carga Tiempos'!M20=MIN('Carga Tiempos'!$C20:$F20),'Carga Tiempos'!M20,'Carga Tiempos'!M20-MIN('Carga Tiempos'!$C20:$F20))</f>
        <v>0</v>
      </c>
      <c r="N20" s="1"/>
      <c r="O20" s="1"/>
      <c r="P20" s="1"/>
    </row>
    <row r="21" spans="1:16">
      <c r="A21" s="119"/>
      <c r="B21" s="58" t="s">
        <v>52</v>
      </c>
      <c r="C21" s="65">
        <f>+IF('Carga Tiempos'!C21=MIN('Carga Tiempos'!$C21:$F21),'Carga Tiempos'!C21,'Carga Tiempos'!C21-MIN('Carga Tiempos'!$C21:$F21))</f>
        <v>0</v>
      </c>
      <c r="D21" s="64">
        <f>+IF('Carga Tiempos'!D21=MIN('Carga Tiempos'!$C21:$F21),'Carga Tiempos'!D21,'Carga Tiempos'!D21-MIN('Carga Tiempos'!$C21:$F21))</f>
        <v>0</v>
      </c>
      <c r="E21" s="59">
        <f>+IF('Carga Tiempos'!E21=MIN('Carga Tiempos'!$C21:$F21),'Carga Tiempos'!E21,'Carga Tiempos'!E21-MIN('Carga Tiempos'!$C21:$F21))</f>
        <v>0</v>
      </c>
      <c r="F21" s="64">
        <f>+IF('Carga Tiempos'!F21=MIN('Carga Tiempos'!$C21:$F21),'Carga Tiempos'!F21,'Carga Tiempos'!F21-MIN('Carga Tiempos'!$C21:$F21))</f>
        <v>0</v>
      </c>
      <c r="G21" s="64">
        <f>+IF('Carga Tiempos'!G21=MIN('Carga Tiempos'!$C21:$F21),'Carga Tiempos'!G21,'Carga Tiempos'!G21-MIN('Carga Tiempos'!$C21:$F21))</f>
        <v>0</v>
      </c>
      <c r="H21" s="64">
        <f>+IF('Carga Tiempos'!H21=MIN('Carga Tiempos'!$C21:$F21),'Carga Tiempos'!H21,'Carga Tiempos'!H21-MIN('Carga Tiempos'!$C21:$F21))</f>
        <v>0</v>
      </c>
      <c r="I21" s="64">
        <f>+IF('Carga Tiempos'!I21=MIN('Carga Tiempos'!$C21:$F21),'Carga Tiempos'!I21,'Carga Tiempos'!I21-MIN('Carga Tiempos'!$C21:$F21))</f>
        <v>0</v>
      </c>
      <c r="J21" s="64">
        <f>+IF('Carga Tiempos'!J21=MIN('Carga Tiempos'!$C21:$F21),'Carga Tiempos'!J21,'Carga Tiempos'!J21-MIN('Carga Tiempos'!$C21:$F21))</f>
        <v>0</v>
      </c>
      <c r="K21" s="64">
        <f>+IF('Carga Tiempos'!K21=MIN('Carga Tiempos'!$C21:$F21),'Carga Tiempos'!K21,'Carga Tiempos'!K21-MIN('Carga Tiempos'!$C21:$F21))</f>
        <v>0</v>
      </c>
      <c r="L21" s="64">
        <f>+IF('Carga Tiempos'!L21=MIN('Carga Tiempos'!$C21:$F21),'Carga Tiempos'!L21,'Carga Tiempos'!L21-MIN('Carga Tiempos'!$C21:$F21))</f>
        <v>0</v>
      </c>
      <c r="M21" s="64">
        <f>+IF('Carga Tiempos'!M21=MIN('Carga Tiempos'!$C21:$F21),'Carga Tiempos'!M21,'Carga Tiempos'!M21-MIN('Carga Tiempos'!$C21:$F21))</f>
        <v>0</v>
      </c>
      <c r="N21" s="1"/>
      <c r="O21" s="1"/>
      <c r="P21" s="1"/>
    </row>
    <row r="22" spans="1:16">
      <c r="A22" s="119"/>
      <c r="B22" s="58" t="s">
        <v>53</v>
      </c>
      <c r="C22" s="65">
        <f>+IF('Carga Tiempos'!C22=MIN('Carga Tiempos'!$C22:$F22),'Carga Tiempos'!C22,'Carga Tiempos'!C22-MIN('Carga Tiempos'!$C22:$F22))</f>
        <v>0</v>
      </c>
      <c r="D22" s="64">
        <f>+IF('Carga Tiempos'!D22=MIN('Carga Tiempos'!$C22:$F22),'Carga Tiempos'!D22,'Carga Tiempos'!D22-MIN('Carga Tiempos'!$C22:$F22))</f>
        <v>0</v>
      </c>
      <c r="E22" s="59">
        <f>+IF('Carga Tiempos'!E22=MIN('Carga Tiempos'!$C22:$F22),'Carga Tiempos'!E22,'Carga Tiempos'!E22-MIN('Carga Tiempos'!$C22:$F22))</f>
        <v>0</v>
      </c>
      <c r="F22" s="64">
        <f>+IF('Carga Tiempos'!F22=MIN('Carga Tiempos'!$C22:$F22),'Carga Tiempos'!F22,'Carga Tiempos'!F22-MIN('Carga Tiempos'!$C22:$F22))</f>
        <v>0</v>
      </c>
      <c r="G22" s="64">
        <f>+IF('Carga Tiempos'!G22=MIN('Carga Tiempos'!$C22:$F22),'Carga Tiempos'!G22,'Carga Tiempos'!G22-MIN('Carga Tiempos'!$C22:$F22))</f>
        <v>0</v>
      </c>
      <c r="H22" s="64">
        <f>+IF('Carga Tiempos'!H22=MIN('Carga Tiempos'!$C22:$F22),'Carga Tiempos'!H22,'Carga Tiempos'!H22-MIN('Carga Tiempos'!$C22:$F22))</f>
        <v>0</v>
      </c>
      <c r="I22" s="64">
        <f>+IF('Carga Tiempos'!I22=MIN('Carga Tiempos'!$C22:$F22),'Carga Tiempos'!I22,'Carga Tiempos'!I22-MIN('Carga Tiempos'!$C22:$F22))</f>
        <v>0</v>
      </c>
      <c r="J22" s="64">
        <f>+IF('Carga Tiempos'!J22=MIN('Carga Tiempos'!$C22:$F22),'Carga Tiempos'!J22,'Carga Tiempos'!J22-MIN('Carga Tiempos'!$C22:$F22))</f>
        <v>0</v>
      </c>
      <c r="K22" s="64">
        <f>+IF('Carga Tiempos'!K22=MIN('Carga Tiempos'!$C22:$F22),'Carga Tiempos'!K22,'Carga Tiempos'!K22-MIN('Carga Tiempos'!$C22:$F22))</f>
        <v>0</v>
      </c>
      <c r="L22" s="64">
        <f>+IF('Carga Tiempos'!L22=MIN('Carga Tiempos'!$C22:$F22),'Carga Tiempos'!L22,'Carga Tiempos'!L22-MIN('Carga Tiempos'!$C22:$F22))</f>
        <v>0</v>
      </c>
      <c r="M22" s="64">
        <f>+IF('Carga Tiempos'!M22=MIN('Carga Tiempos'!$C22:$F22),'Carga Tiempos'!M22,'Carga Tiempos'!M22-MIN('Carga Tiempos'!$C22:$F22))</f>
        <v>0</v>
      </c>
      <c r="N22" s="1"/>
      <c r="O22" s="1"/>
      <c r="P22" s="1"/>
    </row>
    <row r="23" spans="1:16">
      <c r="A23" s="118"/>
      <c r="B23" s="60" t="s">
        <v>51</v>
      </c>
      <c r="C23" s="66">
        <f>+IF('Carga Tiempos'!C23=MIN('Carga Tiempos'!$C23:$F23),'Carga Tiempos'!C23,'Carga Tiempos'!C23-MIN('Carga Tiempos'!$C23:$F23))</f>
        <v>0</v>
      </c>
      <c r="D23" s="66">
        <f>+IF('Carga Tiempos'!D23=MIN('Carga Tiempos'!$C23:$F23),'Carga Tiempos'!D23,'Carga Tiempos'!D23-MIN('Carga Tiempos'!$C23:$F23))</f>
        <v>0</v>
      </c>
      <c r="E23" s="66">
        <f>+IF('Carga Tiempos'!E23=MIN('Carga Tiempos'!$C23:$F23),'Carga Tiempos'!E23,'Carga Tiempos'!E23-MIN('Carga Tiempos'!$C23:$F23))</f>
        <v>0</v>
      </c>
      <c r="F23" s="56">
        <f>+IF('Carga Tiempos'!F23=MIN('Carga Tiempos'!$C23:$F23),'Carga Tiempos'!F23,'Carga Tiempos'!F23-MIN('Carga Tiempos'!$C23:$F23))</f>
        <v>0</v>
      </c>
      <c r="G23" s="56">
        <f>+IF('Carga Tiempos'!G23=MIN('Carga Tiempos'!$C23:$F23),'Carga Tiempos'!G23,'Carga Tiempos'!G23-MIN('Carga Tiempos'!$C23:$F23))</f>
        <v>0</v>
      </c>
      <c r="H23" s="56">
        <f>+IF('Carga Tiempos'!H23=MIN('Carga Tiempos'!$C23:$F23),'Carga Tiempos'!H23,'Carga Tiempos'!H23-MIN('Carga Tiempos'!$C23:$F23))</f>
        <v>0</v>
      </c>
      <c r="I23" s="56">
        <f>+IF('Carga Tiempos'!I23=MIN('Carga Tiempos'!$C23:$F23),'Carga Tiempos'!I23,'Carga Tiempos'!I23-MIN('Carga Tiempos'!$C23:$F23))</f>
        <v>0</v>
      </c>
      <c r="J23" s="56">
        <f>+IF('Carga Tiempos'!J23=MIN('Carga Tiempos'!$C23:$F23),'Carga Tiempos'!J23,'Carga Tiempos'!J23-MIN('Carga Tiempos'!$C23:$F23))</f>
        <v>0</v>
      </c>
      <c r="K23" s="56">
        <f>+IF('Carga Tiempos'!K23=MIN('Carga Tiempos'!$C23:$F23),'Carga Tiempos'!K23,'Carga Tiempos'!K23-MIN('Carga Tiempos'!$C23:$F23))</f>
        <v>0</v>
      </c>
      <c r="L23" s="56">
        <f>+IF('Carga Tiempos'!L23=MIN('Carga Tiempos'!$C23:$F23),'Carga Tiempos'!L23,'Carga Tiempos'!L23-MIN('Carga Tiempos'!$C23:$F23))</f>
        <v>0</v>
      </c>
      <c r="M23" s="56">
        <f>+IF('Carga Tiempos'!M23=MIN('Carga Tiempos'!$C23:$F23),'Carga Tiempos'!M23,'Carga Tiempos'!M23-MIN('Carga Tiempos'!$C23:$F23))</f>
        <v>0</v>
      </c>
      <c r="N23" s="1"/>
      <c r="O23" s="1"/>
      <c r="P23" s="1"/>
    </row>
    <row r="24" spans="1:16">
      <c r="A24" s="119"/>
      <c r="B24" s="58" t="s">
        <v>52</v>
      </c>
      <c r="C24" s="65">
        <f>+IF('Carga Tiempos'!C24=MIN('Carga Tiempos'!$C24:$F24),'Carga Tiempos'!C24,'Carga Tiempos'!C24-MIN('Carga Tiempos'!$C24:$F24))</f>
        <v>0</v>
      </c>
      <c r="D24" s="64">
        <f>+IF('Carga Tiempos'!D24=MIN('Carga Tiempos'!$C24:$F24),'Carga Tiempos'!D24,'Carga Tiempos'!D24-MIN('Carga Tiempos'!$C24:$F24))</f>
        <v>0</v>
      </c>
      <c r="E24" s="59">
        <f>+IF('Carga Tiempos'!E24=MIN('Carga Tiempos'!$C24:$F24),'Carga Tiempos'!E24,'Carga Tiempos'!E24-MIN('Carga Tiempos'!$C24:$F24))</f>
        <v>0</v>
      </c>
      <c r="F24" s="64">
        <f>+IF('Carga Tiempos'!F24=MIN('Carga Tiempos'!$C24:$F24),'Carga Tiempos'!F24,'Carga Tiempos'!F24-MIN('Carga Tiempos'!$C24:$F24))</f>
        <v>0</v>
      </c>
      <c r="G24" s="64">
        <f>+IF('Carga Tiempos'!G24=MIN('Carga Tiempos'!$C24:$F24),'Carga Tiempos'!G24,'Carga Tiempos'!G24-MIN('Carga Tiempos'!$C24:$F24))</f>
        <v>0</v>
      </c>
      <c r="H24" s="64">
        <f>+IF('Carga Tiempos'!H24=MIN('Carga Tiempos'!$C24:$F24),'Carga Tiempos'!H24,'Carga Tiempos'!H24-MIN('Carga Tiempos'!$C24:$F24))</f>
        <v>0</v>
      </c>
      <c r="I24" s="64">
        <f>+IF('Carga Tiempos'!I24=MIN('Carga Tiempos'!$C24:$F24),'Carga Tiempos'!I24,'Carga Tiempos'!I24-MIN('Carga Tiempos'!$C24:$F24))</f>
        <v>0</v>
      </c>
      <c r="J24" s="64">
        <f>+IF('Carga Tiempos'!J24=MIN('Carga Tiempos'!$C24:$F24),'Carga Tiempos'!J24,'Carga Tiempos'!J24-MIN('Carga Tiempos'!$C24:$F24))</f>
        <v>0</v>
      </c>
      <c r="K24" s="64">
        <f>+IF('Carga Tiempos'!K24=MIN('Carga Tiempos'!$C24:$F24),'Carga Tiempos'!K24,'Carga Tiempos'!K24-MIN('Carga Tiempos'!$C24:$F24))</f>
        <v>0</v>
      </c>
      <c r="L24" s="64">
        <f>+IF('Carga Tiempos'!L24=MIN('Carga Tiempos'!$C24:$F24),'Carga Tiempos'!L24,'Carga Tiempos'!L24-MIN('Carga Tiempos'!$C24:$F24))</f>
        <v>0</v>
      </c>
      <c r="M24" s="64">
        <f>+IF('Carga Tiempos'!M24=MIN('Carga Tiempos'!$C24:$F24),'Carga Tiempos'!M24,'Carga Tiempos'!M24-MIN('Carga Tiempos'!$C24:$F24))</f>
        <v>0</v>
      </c>
      <c r="N24" s="1"/>
      <c r="O24" s="1"/>
      <c r="P24" s="1"/>
    </row>
    <row r="25" spans="1:16">
      <c r="A25" s="120"/>
      <c r="B25" s="62" t="s">
        <v>53</v>
      </c>
      <c r="C25" s="67">
        <f>+IF('Carga Tiempos'!C25=MIN('Carga Tiempos'!$C25:$F25),'Carga Tiempos'!C25,'Carga Tiempos'!C25-MIN('Carga Tiempos'!$C25:$F25))</f>
        <v>0</v>
      </c>
      <c r="D25" s="57">
        <f>+IF('Carga Tiempos'!D25=MIN('Carga Tiempos'!$C25:$F25),'Carga Tiempos'!D25,'Carga Tiempos'!D25-MIN('Carga Tiempos'!$C25:$F25))</f>
        <v>0</v>
      </c>
      <c r="E25" s="63">
        <f>+IF('Carga Tiempos'!E25=MIN('Carga Tiempos'!$C25:$F25),'Carga Tiempos'!E25,'Carga Tiempos'!E25-MIN('Carga Tiempos'!$C25:$F25))</f>
        <v>0</v>
      </c>
      <c r="F25" s="57">
        <f>+IF('Carga Tiempos'!F25=MIN('Carga Tiempos'!$C25:$F25),'Carga Tiempos'!F25,'Carga Tiempos'!F25-MIN('Carga Tiempos'!$C25:$F25))</f>
        <v>0</v>
      </c>
      <c r="G25" s="57">
        <f>+IF('Carga Tiempos'!G25=MIN('Carga Tiempos'!$C25:$F25),'Carga Tiempos'!G25,'Carga Tiempos'!G25-MIN('Carga Tiempos'!$C25:$F25))</f>
        <v>0</v>
      </c>
      <c r="H25" s="57">
        <f>+IF('Carga Tiempos'!H25=MIN('Carga Tiempos'!$C25:$F25),'Carga Tiempos'!H25,'Carga Tiempos'!H25-MIN('Carga Tiempos'!$C25:$F25))</f>
        <v>0</v>
      </c>
      <c r="I25" s="57">
        <f>+IF('Carga Tiempos'!I25=MIN('Carga Tiempos'!$C25:$F25),'Carga Tiempos'!I25,'Carga Tiempos'!I25-MIN('Carga Tiempos'!$C25:$F25))</f>
        <v>0</v>
      </c>
      <c r="J25" s="57">
        <f>+IF('Carga Tiempos'!J25=MIN('Carga Tiempos'!$C25:$F25),'Carga Tiempos'!J25,'Carga Tiempos'!J25-MIN('Carga Tiempos'!$C25:$F25))</f>
        <v>0</v>
      </c>
      <c r="K25" s="57">
        <f>+IF('Carga Tiempos'!K25=MIN('Carga Tiempos'!$C25:$F25),'Carga Tiempos'!K25,'Carga Tiempos'!K25-MIN('Carga Tiempos'!$C25:$F25))</f>
        <v>0</v>
      </c>
      <c r="L25" s="57">
        <f>+IF('Carga Tiempos'!L25=MIN('Carga Tiempos'!$C25:$F25),'Carga Tiempos'!L25,'Carga Tiempos'!L25-MIN('Carga Tiempos'!$C25:$F25))</f>
        <v>0</v>
      </c>
      <c r="M25" s="57">
        <f>+IF('Carga Tiempos'!M25=MIN('Carga Tiempos'!$C25:$F25),'Carga Tiempos'!M25,'Carga Tiempos'!M25-MIN('Carga Tiempos'!$C25:$F25))</f>
        <v>0</v>
      </c>
      <c r="N25" s="1"/>
      <c r="O25" s="1"/>
      <c r="P25" s="1"/>
    </row>
    <row r="26" spans="1:16">
      <c r="A26" s="119"/>
      <c r="B26" s="58" t="s">
        <v>51</v>
      </c>
      <c r="C26" s="65">
        <f>+IF('Carga Tiempos'!C26=MIN('Carga Tiempos'!$C26:$F26),'Carga Tiempos'!C26,'Carga Tiempos'!C26-MIN('Carga Tiempos'!$C26:$F26))</f>
        <v>0</v>
      </c>
      <c r="D26" s="66">
        <f>+IF('Carga Tiempos'!D26=MIN('Carga Tiempos'!$C26:$F26),'Carga Tiempos'!D26,'Carga Tiempos'!D26-MIN('Carga Tiempos'!$C26:$F26))</f>
        <v>0</v>
      </c>
      <c r="E26" s="65">
        <f>+IF('Carga Tiempos'!E26=MIN('Carga Tiempos'!$C26:$F26),'Carga Tiempos'!E26,'Carga Tiempos'!E26-MIN('Carga Tiempos'!$C26:$F26))</f>
        <v>0</v>
      </c>
      <c r="F26" s="64">
        <f>+IF('Carga Tiempos'!F26=MIN('Carga Tiempos'!$C26:$F26),'Carga Tiempos'!F26,'Carga Tiempos'!F26-MIN('Carga Tiempos'!$C26:$F26))</f>
        <v>0</v>
      </c>
      <c r="G26" s="64">
        <f>+IF('Carga Tiempos'!G26=MIN('Carga Tiempos'!$C26:$F26),'Carga Tiempos'!G26,'Carga Tiempos'!G26-MIN('Carga Tiempos'!$C26:$F26))</f>
        <v>0</v>
      </c>
      <c r="H26" s="64">
        <f>+IF('Carga Tiempos'!H26=MIN('Carga Tiempos'!$C26:$F26),'Carga Tiempos'!H26,'Carga Tiempos'!H26-MIN('Carga Tiempos'!$C26:$F26))</f>
        <v>0</v>
      </c>
      <c r="I26" s="64">
        <f>+IF('Carga Tiempos'!I26=MIN('Carga Tiempos'!$C26:$F26),'Carga Tiempos'!I26,'Carga Tiempos'!I26-MIN('Carga Tiempos'!$C26:$F26))</f>
        <v>0</v>
      </c>
      <c r="J26" s="64">
        <f>+IF('Carga Tiempos'!J26=MIN('Carga Tiempos'!$C26:$F26),'Carga Tiempos'!J26,'Carga Tiempos'!J26-MIN('Carga Tiempos'!$C26:$F26))</f>
        <v>0</v>
      </c>
      <c r="K26" s="64">
        <f>+IF('Carga Tiempos'!K26=MIN('Carga Tiempos'!$C26:$F26),'Carga Tiempos'!K26,'Carga Tiempos'!K26-MIN('Carga Tiempos'!$C26:$F26))</f>
        <v>0</v>
      </c>
      <c r="L26" s="64">
        <f>+IF('Carga Tiempos'!L26=MIN('Carga Tiempos'!$C26:$F26),'Carga Tiempos'!L26,'Carga Tiempos'!L26-MIN('Carga Tiempos'!$C26:$F26))</f>
        <v>0</v>
      </c>
      <c r="M26" s="64">
        <f>+IF('Carga Tiempos'!M26=MIN('Carga Tiempos'!$C26:$F26),'Carga Tiempos'!M26,'Carga Tiempos'!M26-MIN('Carga Tiempos'!$C26:$F26))</f>
        <v>0</v>
      </c>
      <c r="N26" s="1"/>
      <c r="O26" s="1"/>
      <c r="P26" s="1"/>
    </row>
    <row r="27" spans="1:16">
      <c r="A27" s="119"/>
      <c r="B27" s="58" t="s">
        <v>52</v>
      </c>
      <c r="C27" s="65">
        <f>+IF('Carga Tiempos'!C27=MIN('Carga Tiempos'!$C27:$F27),'Carga Tiempos'!C27,'Carga Tiempos'!C27-MIN('Carga Tiempos'!$C27:$F27))</f>
        <v>0</v>
      </c>
      <c r="D27" s="64">
        <f>+IF('Carga Tiempos'!D27=MIN('Carga Tiempos'!$C27:$F27),'Carga Tiempos'!D27,'Carga Tiempos'!D27-MIN('Carga Tiempos'!$C27:$F27))</f>
        <v>0</v>
      </c>
      <c r="E27" s="59">
        <f>+IF('Carga Tiempos'!E27=MIN('Carga Tiempos'!$C27:$F27),'Carga Tiempos'!E27,'Carga Tiempos'!E27-MIN('Carga Tiempos'!$C27:$F27))</f>
        <v>0</v>
      </c>
      <c r="F27" s="64">
        <f>+IF('Carga Tiempos'!F27=MIN('Carga Tiempos'!$C27:$F27),'Carga Tiempos'!F27,'Carga Tiempos'!F27-MIN('Carga Tiempos'!$C27:$F27))</f>
        <v>0</v>
      </c>
      <c r="G27" s="64">
        <f>+IF('Carga Tiempos'!G27=MIN('Carga Tiempos'!$C27:$F27),'Carga Tiempos'!G27,'Carga Tiempos'!G27-MIN('Carga Tiempos'!$C27:$F27))</f>
        <v>0</v>
      </c>
      <c r="H27" s="64">
        <f>+IF('Carga Tiempos'!H27=MIN('Carga Tiempos'!$C27:$F27),'Carga Tiempos'!H27,'Carga Tiempos'!H27-MIN('Carga Tiempos'!$C27:$F27))</f>
        <v>0</v>
      </c>
      <c r="I27" s="64">
        <f>+IF('Carga Tiempos'!I27=MIN('Carga Tiempos'!$C27:$F27),'Carga Tiempos'!I27,'Carga Tiempos'!I27-MIN('Carga Tiempos'!$C27:$F27))</f>
        <v>0</v>
      </c>
      <c r="J27" s="64">
        <f>+IF('Carga Tiempos'!J27=MIN('Carga Tiempos'!$C27:$F27),'Carga Tiempos'!J27,'Carga Tiempos'!J27-MIN('Carga Tiempos'!$C27:$F27))</f>
        <v>0</v>
      </c>
      <c r="K27" s="64">
        <f>+IF('Carga Tiempos'!K27=MIN('Carga Tiempos'!$C27:$F27),'Carga Tiempos'!K27,'Carga Tiempos'!K27-MIN('Carga Tiempos'!$C27:$F27))</f>
        <v>0</v>
      </c>
      <c r="L27" s="64">
        <f>+IF('Carga Tiempos'!L27=MIN('Carga Tiempos'!$C27:$F27),'Carga Tiempos'!L27,'Carga Tiempos'!L27-MIN('Carga Tiempos'!$C27:$F27))</f>
        <v>0</v>
      </c>
      <c r="M27" s="64">
        <f>+IF('Carga Tiempos'!M27=MIN('Carga Tiempos'!$C27:$F27),'Carga Tiempos'!M27,'Carga Tiempos'!M27-MIN('Carga Tiempos'!$C27:$F27))</f>
        <v>0</v>
      </c>
      <c r="N27" s="1"/>
      <c r="O27" s="1"/>
      <c r="P27" s="1"/>
    </row>
    <row r="28" spans="1:16">
      <c r="A28" s="119"/>
      <c r="B28" s="58" t="s">
        <v>53</v>
      </c>
      <c r="C28" s="65">
        <f>+IF('Carga Tiempos'!C28=MIN('Carga Tiempos'!$C28:$F28),'Carga Tiempos'!C28,'Carga Tiempos'!C28-MIN('Carga Tiempos'!$C28:$F28))</f>
        <v>0</v>
      </c>
      <c r="D28" s="64">
        <f>+IF('Carga Tiempos'!D28=MIN('Carga Tiempos'!$C28:$F28),'Carga Tiempos'!D28,'Carga Tiempos'!D28-MIN('Carga Tiempos'!$C28:$F28))</f>
        <v>0</v>
      </c>
      <c r="E28" s="59">
        <f>+IF('Carga Tiempos'!E28=MIN('Carga Tiempos'!$C28:$F28),'Carga Tiempos'!E28,'Carga Tiempos'!E28-MIN('Carga Tiempos'!$C28:$F28))</f>
        <v>0</v>
      </c>
      <c r="F28" s="64">
        <f>+IF('Carga Tiempos'!F28=MIN('Carga Tiempos'!$C28:$F28),'Carga Tiempos'!F28,'Carga Tiempos'!F28-MIN('Carga Tiempos'!$C28:$F28))</f>
        <v>0</v>
      </c>
      <c r="G28" s="64">
        <f>+IF('Carga Tiempos'!G28=MIN('Carga Tiempos'!$C28:$F28),'Carga Tiempos'!G28,'Carga Tiempos'!G28-MIN('Carga Tiempos'!$C28:$F28))</f>
        <v>0</v>
      </c>
      <c r="H28" s="64">
        <f>+IF('Carga Tiempos'!H28=MIN('Carga Tiempos'!$C28:$F28),'Carga Tiempos'!H28,'Carga Tiempos'!H28-MIN('Carga Tiempos'!$C28:$F28))</f>
        <v>0</v>
      </c>
      <c r="I28" s="64">
        <f>+IF('Carga Tiempos'!I28=MIN('Carga Tiempos'!$C28:$F28),'Carga Tiempos'!I28,'Carga Tiempos'!I28-MIN('Carga Tiempos'!$C28:$F28))</f>
        <v>0</v>
      </c>
      <c r="J28" s="64">
        <f>+IF('Carga Tiempos'!J28=MIN('Carga Tiempos'!$C28:$F28),'Carga Tiempos'!J28,'Carga Tiempos'!J28-MIN('Carga Tiempos'!$C28:$F28))</f>
        <v>0</v>
      </c>
      <c r="K28" s="64">
        <f>+IF('Carga Tiempos'!K28=MIN('Carga Tiempos'!$C28:$F28),'Carga Tiempos'!K28,'Carga Tiempos'!K28-MIN('Carga Tiempos'!$C28:$F28))</f>
        <v>0</v>
      </c>
      <c r="L28" s="64">
        <f>+IF('Carga Tiempos'!L28=MIN('Carga Tiempos'!$C28:$F28),'Carga Tiempos'!L28,'Carga Tiempos'!L28-MIN('Carga Tiempos'!$C28:$F28))</f>
        <v>0</v>
      </c>
      <c r="M28" s="64">
        <f>+IF('Carga Tiempos'!M28=MIN('Carga Tiempos'!$C28:$F28),'Carga Tiempos'!M28,'Carga Tiempos'!M28-MIN('Carga Tiempos'!$C28:$F28))</f>
        <v>0</v>
      </c>
      <c r="N28" s="1"/>
      <c r="O28" s="1"/>
      <c r="P28" s="1"/>
    </row>
    <row r="29" spans="1:16">
      <c r="A29" s="118"/>
      <c r="B29" s="60" t="s">
        <v>51</v>
      </c>
      <c r="C29" s="66">
        <f>+IF('Carga Tiempos'!C29=MIN('Carga Tiempos'!$C29:$F29),'Carga Tiempos'!C29,'Carga Tiempos'!C29-MIN('Carga Tiempos'!$C29:$F29))</f>
        <v>0</v>
      </c>
      <c r="D29" s="66">
        <f>+IF('Carga Tiempos'!D29=MIN('Carga Tiempos'!$C29:$F29),'Carga Tiempos'!D29,'Carga Tiempos'!D29-MIN('Carga Tiempos'!$C29:$F29))</f>
        <v>0</v>
      </c>
      <c r="E29" s="66">
        <f>+IF('Carga Tiempos'!E29=MIN('Carga Tiempos'!$C29:$F29),'Carga Tiempos'!E29,'Carga Tiempos'!E29-MIN('Carga Tiempos'!$C29:$F29))</f>
        <v>0</v>
      </c>
      <c r="F29" s="56">
        <f>+IF('Carga Tiempos'!F29=MIN('Carga Tiempos'!$C29:$F29),'Carga Tiempos'!F29,'Carga Tiempos'!F29-MIN('Carga Tiempos'!$C29:$F29))</f>
        <v>0</v>
      </c>
      <c r="G29" s="56">
        <f>+IF('Carga Tiempos'!G29=MIN('Carga Tiempos'!$C29:$F29),'Carga Tiempos'!G29,'Carga Tiempos'!G29-MIN('Carga Tiempos'!$C29:$F29))</f>
        <v>0</v>
      </c>
      <c r="H29" s="56">
        <f>+IF('Carga Tiempos'!H29=MIN('Carga Tiempos'!$C29:$F29),'Carga Tiempos'!H29,'Carga Tiempos'!H29-MIN('Carga Tiempos'!$C29:$F29))</f>
        <v>0</v>
      </c>
      <c r="I29" s="56">
        <f>+IF('Carga Tiempos'!I29=MIN('Carga Tiempos'!$C29:$F29),'Carga Tiempos'!I29,'Carga Tiempos'!I29-MIN('Carga Tiempos'!$C29:$F29))</f>
        <v>0</v>
      </c>
      <c r="J29" s="56">
        <f>+IF('Carga Tiempos'!J29=MIN('Carga Tiempos'!$C29:$F29),'Carga Tiempos'!J29,'Carga Tiempos'!J29-MIN('Carga Tiempos'!$C29:$F29))</f>
        <v>0</v>
      </c>
      <c r="K29" s="56">
        <f>+IF('Carga Tiempos'!K29=MIN('Carga Tiempos'!$C29:$F29),'Carga Tiempos'!K29,'Carga Tiempos'!K29-MIN('Carga Tiempos'!$C29:$F29))</f>
        <v>0</v>
      </c>
      <c r="L29" s="56">
        <f>+IF('Carga Tiempos'!L29=MIN('Carga Tiempos'!$C29:$F29),'Carga Tiempos'!L29,'Carga Tiempos'!L29-MIN('Carga Tiempos'!$C29:$F29))</f>
        <v>0</v>
      </c>
      <c r="M29" s="56">
        <f>+IF('Carga Tiempos'!M29=MIN('Carga Tiempos'!$C29:$F29),'Carga Tiempos'!M29,'Carga Tiempos'!M29-MIN('Carga Tiempos'!$C29:$F29))</f>
        <v>0</v>
      </c>
      <c r="N29" s="1"/>
      <c r="O29" s="1"/>
      <c r="P29" s="1"/>
    </row>
    <row r="30" spans="1:16">
      <c r="A30" s="119"/>
      <c r="B30" s="58" t="s">
        <v>52</v>
      </c>
      <c r="C30" s="65">
        <f>+IF('Carga Tiempos'!C30=MIN('Carga Tiempos'!$C30:$F30),'Carga Tiempos'!C30,'Carga Tiempos'!C30-MIN('Carga Tiempos'!$C30:$F30))</f>
        <v>0</v>
      </c>
      <c r="D30" s="64">
        <f>+IF('Carga Tiempos'!D30=MIN('Carga Tiempos'!$C30:$F30),'Carga Tiempos'!D30,'Carga Tiempos'!D30-MIN('Carga Tiempos'!$C30:$F30))</f>
        <v>0</v>
      </c>
      <c r="E30" s="59">
        <f>+IF('Carga Tiempos'!E30=MIN('Carga Tiempos'!$C30:$F30),'Carga Tiempos'!E30,'Carga Tiempos'!E30-MIN('Carga Tiempos'!$C30:$F30))</f>
        <v>0</v>
      </c>
      <c r="F30" s="64">
        <f>+IF('Carga Tiempos'!F30=MIN('Carga Tiempos'!$C30:$F30),'Carga Tiempos'!F30,'Carga Tiempos'!F30-MIN('Carga Tiempos'!$C30:$F30))</f>
        <v>0</v>
      </c>
      <c r="G30" s="64">
        <f>+IF('Carga Tiempos'!G30=MIN('Carga Tiempos'!$C30:$F30),'Carga Tiempos'!G30,'Carga Tiempos'!G30-MIN('Carga Tiempos'!$C30:$F30))</f>
        <v>0</v>
      </c>
      <c r="H30" s="64">
        <f>+IF('Carga Tiempos'!H30=MIN('Carga Tiempos'!$C30:$F30),'Carga Tiempos'!H30,'Carga Tiempos'!H30-MIN('Carga Tiempos'!$C30:$F30))</f>
        <v>0</v>
      </c>
      <c r="I30" s="64">
        <f>+IF('Carga Tiempos'!I30=MIN('Carga Tiempos'!$C30:$F30),'Carga Tiempos'!I30,'Carga Tiempos'!I30-MIN('Carga Tiempos'!$C30:$F30))</f>
        <v>0</v>
      </c>
      <c r="J30" s="64">
        <f>+IF('Carga Tiempos'!J30=MIN('Carga Tiempos'!$C30:$F30),'Carga Tiempos'!J30,'Carga Tiempos'!J30-MIN('Carga Tiempos'!$C30:$F30))</f>
        <v>0</v>
      </c>
      <c r="K30" s="64">
        <f>+IF('Carga Tiempos'!K30=MIN('Carga Tiempos'!$C30:$F30),'Carga Tiempos'!K30,'Carga Tiempos'!K30-MIN('Carga Tiempos'!$C30:$F30))</f>
        <v>0</v>
      </c>
      <c r="L30" s="64">
        <f>+IF('Carga Tiempos'!L30=MIN('Carga Tiempos'!$C30:$F30),'Carga Tiempos'!L30,'Carga Tiempos'!L30-MIN('Carga Tiempos'!$C30:$F30))</f>
        <v>0</v>
      </c>
      <c r="M30" s="64">
        <f>+IF('Carga Tiempos'!M30=MIN('Carga Tiempos'!$C30:$F30),'Carga Tiempos'!M30,'Carga Tiempos'!M30-MIN('Carga Tiempos'!$C30:$F30))</f>
        <v>0</v>
      </c>
      <c r="N30" s="1"/>
      <c r="O30" s="1"/>
      <c r="P30" s="1"/>
    </row>
    <row r="31" spans="1:16">
      <c r="A31" s="120"/>
      <c r="B31" s="62" t="s">
        <v>53</v>
      </c>
      <c r="C31" s="67">
        <f>+IF('Carga Tiempos'!C31=MIN('Carga Tiempos'!$C31:$F31),'Carga Tiempos'!C31,'Carga Tiempos'!C31-MIN('Carga Tiempos'!$C31:$F31))</f>
        <v>0</v>
      </c>
      <c r="D31" s="57">
        <f>+IF('Carga Tiempos'!D31=MIN('Carga Tiempos'!$C31:$F31),'Carga Tiempos'!D31,'Carga Tiempos'!D31-MIN('Carga Tiempos'!$C31:$F31))</f>
        <v>0</v>
      </c>
      <c r="E31" s="63">
        <f>+IF('Carga Tiempos'!E31=MIN('Carga Tiempos'!$C31:$F31),'Carga Tiempos'!E31,'Carga Tiempos'!E31-MIN('Carga Tiempos'!$C31:$F31))</f>
        <v>0</v>
      </c>
      <c r="F31" s="57">
        <f>+IF('Carga Tiempos'!F31=MIN('Carga Tiempos'!$C31:$F31),'Carga Tiempos'!F31,'Carga Tiempos'!F31-MIN('Carga Tiempos'!$C31:$F31))</f>
        <v>0</v>
      </c>
      <c r="G31" s="57">
        <f>+IF('Carga Tiempos'!G31=MIN('Carga Tiempos'!$C31:$F31),'Carga Tiempos'!G31,'Carga Tiempos'!G31-MIN('Carga Tiempos'!$C31:$F31))</f>
        <v>0</v>
      </c>
      <c r="H31" s="57">
        <f>+IF('Carga Tiempos'!H31=MIN('Carga Tiempos'!$C31:$F31),'Carga Tiempos'!H31,'Carga Tiempos'!H31-MIN('Carga Tiempos'!$C31:$F31))</f>
        <v>0</v>
      </c>
      <c r="I31" s="57">
        <f>+IF('Carga Tiempos'!I31=MIN('Carga Tiempos'!$C31:$F31),'Carga Tiempos'!I31,'Carga Tiempos'!I31-MIN('Carga Tiempos'!$C31:$F31))</f>
        <v>0</v>
      </c>
      <c r="J31" s="57">
        <f>+IF('Carga Tiempos'!J31=MIN('Carga Tiempos'!$C31:$F31),'Carga Tiempos'!J31,'Carga Tiempos'!J31-MIN('Carga Tiempos'!$C31:$F31))</f>
        <v>0</v>
      </c>
      <c r="K31" s="57">
        <f>+IF('Carga Tiempos'!K31=MIN('Carga Tiempos'!$C31:$F31),'Carga Tiempos'!K31,'Carga Tiempos'!K31-MIN('Carga Tiempos'!$C31:$F31))</f>
        <v>0</v>
      </c>
      <c r="L31" s="57">
        <f>+IF('Carga Tiempos'!L31=MIN('Carga Tiempos'!$C31:$F31),'Carga Tiempos'!L31,'Carga Tiempos'!L31-MIN('Carga Tiempos'!$C31:$F31))</f>
        <v>0</v>
      </c>
      <c r="M31" s="57">
        <f>+IF('Carga Tiempos'!M31=MIN('Carga Tiempos'!$C31:$F31),'Carga Tiempos'!M31,'Carga Tiempos'!M31-MIN('Carga Tiempos'!$C31:$F31))</f>
        <v>0</v>
      </c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</sheetData>
  <mergeCells count="10">
    <mergeCell ref="A20:A22"/>
    <mergeCell ref="A23:A25"/>
    <mergeCell ref="A26:A28"/>
    <mergeCell ref="A29:A31"/>
    <mergeCell ref="A2:A4"/>
    <mergeCell ref="A5:A7"/>
    <mergeCell ref="A8:A10"/>
    <mergeCell ref="A11:A13"/>
    <mergeCell ref="A14:A16"/>
    <mergeCell ref="A17:A19"/>
  </mergeCells>
  <conditionalFormatting sqref="C2:F31">
    <cfRule type="expression" dxfId="4" priority="8" stopIfTrue="1">
      <formula>AND(C2&gt;0, C2&lt;0.000347)</formula>
    </cfRule>
    <cfRule type="cellIs" dxfId="3" priority="12" operator="greaterThan">
      <formula>0.0000231481481481481</formula>
    </cfRule>
  </conditionalFormatting>
  <conditionalFormatting sqref="Q10:S12">
    <cfRule type="colorScale" priority="3">
      <colorScale>
        <cfvo type="num" val="0"/>
        <cfvo type="num" val="3.0000000000000001E-6"/>
        <cfvo type="num" val="1.2E-5"/>
        <color theme="0"/>
        <color rgb="FFF7A347"/>
        <color rgb="FFE34231"/>
      </colorScale>
    </cfRule>
    <cfRule type="expression" dxfId="2" priority="4" stopIfTrue="1">
      <formula>AND(Q10&gt;0, Q10&lt;0.000347)</formula>
    </cfRule>
  </conditionalFormatting>
  <conditionalFormatting sqref="G2:M31">
    <cfRule type="expression" dxfId="1" priority="1" stopIfTrue="1">
      <formula>AND(G2&gt;0, G2&lt;0.000347)</formula>
    </cfRule>
    <cfRule type="cellIs" dxfId="0" priority="2" operator="greaterThan">
      <formula>0.0000231481481481481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73353-DC88-4E7A-8BA7-3DB24B9880AA}">
  <dimension ref="A1:X125"/>
  <sheetViews>
    <sheetView workbookViewId="0"/>
  </sheetViews>
  <sheetFormatPr defaultRowHeight="15"/>
  <cols>
    <col min="1" max="1" width="13.5703125" bestFit="1" customWidth="1"/>
    <col min="2" max="3" width="10.140625" bestFit="1" customWidth="1"/>
    <col min="4" max="4" width="10.42578125" bestFit="1" customWidth="1"/>
    <col min="5" max="6" width="9.85546875" bestFit="1" customWidth="1"/>
    <col min="8" max="8" width="10.42578125" bestFit="1" customWidth="1"/>
    <col min="9" max="9" width="9.85546875" bestFit="1" customWidth="1"/>
    <col min="11" max="11" width="13.5703125" bestFit="1" customWidth="1"/>
    <col min="12" max="12" width="10.42578125" bestFit="1" customWidth="1"/>
    <col min="13" max="13" width="14.42578125" bestFit="1" customWidth="1"/>
    <col min="14" max="14" width="10.42578125" bestFit="1" customWidth="1"/>
    <col min="15" max="15" width="10.140625" bestFit="1" customWidth="1"/>
    <col min="16" max="16" width="9.85546875" bestFit="1" customWidth="1"/>
    <col min="18" max="18" width="10.140625" bestFit="1" customWidth="1"/>
    <col min="19" max="20" width="9.85546875" bestFit="1" customWidth="1"/>
    <col min="22" max="24" width="9.85546875" bestFit="1" customWidth="1"/>
  </cols>
  <sheetData>
    <row r="1" spans="1:22" s="1" customFormat="1" ht="34.5">
      <c r="A1" s="97" t="s">
        <v>57</v>
      </c>
      <c r="K1" s="121"/>
      <c r="L1" s="121"/>
      <c r="M1" s="121"/>
      <c r="N1" s="121"/>
      <c r="O1" s="121"/>
      <c r="P1" s="121"/>
      <c r="Q1" s="121"/>
      <c r="R1" s="121"/>
    </row>
    <row r="2" spans="1:22" ht="34.5">
      <c r="A2" s="121" t="s">
        <v>58</v>
      </c>
      <c r="B2" s="121"/>
      <c r="C2" s="121"/>
      <c r="D2" s="121"/>
      <c r="E2" s="121"/>
      <c r="F2" s="121"/>
      <c r="G2" s="121"/>
      <c r="H2" s="121"/>
      <c r="I2" s="1"/>
      <c r="J2" s="1"/>
      <c r="K2" s="122"/>
      <c r="L2" s="123"/>
      <c r="M2" s="122"/>
      <c r="N2" s="123"/>
      <c r="O2" s="122"/>
      <c r="P2" s="123"/>
      <c r="Q2" s="122"/>
      <c r="R2" s="123"/>
      <c r="S2" s="1"/>
      <c r="T2" s="1"/>
      <c r="U2" s="1"/>
      <c r="V2" s="1"/>
    </row>
    <row r="3" spans="1:22">
      <c r="A3" s="126" t="s">
        <v>20</v>
      </c>
      <c r="B3" s="127"/>
      <c r="C3" s="126" t="s">
        <v>20</v>
      </c>
      <c r="D3" s="127"/>
      <c r="E3" s="126" t="s">
        <v>20</v>
      </c>
      <c r="F3" s="127"/>
      <c r="G3" s="126" t="s">
        <v>20</v>
      </c>
      <c r="H3" s="127"/>
      <c r="I3" s="1"/>
      <c r="J3" s="1"/>
      <c r="K3" s="72"/>
      <c r="L3" s="77"/>
      <c r="M3" s="82"/>
      <c r="N3" s="73"/>
      <c r="O3" s="82"/>
      <c r="P3" s="80"/>
      <c r="Q3" s="79"/>
      <c r="R3" s="80"/>
      <c r="S3" s="1"/>
      <c r="T3" s="1"/>
      <c r="U3" s="101"/>
      <c r="V3" s="1"/>
    </row>
    <row r="4" spans="1:22">
      <c r="A4" s="122" t="s">
        <v>59</v>
      </c>
      <c r="B4" s="123"/>
      <c r="C4" s="122" t="s">
        <v>60</v>
      </c>
      <c r="D4" s="123"/>
      <c r="E4" s="124" t="s">
        <v>61</v>
      </c>
      <c r="F4" s="125"/>
      <c r="G4" s="122" t="s">
        <v>62</v>
      </c>
      <c r="H4" s="123"/>
      <c r="I4" s="1"/>
      <c r="J4" s="1"/>
      <c r="K4" s="74"/>
      <c r="L4" s="77"/>
      <c r="M4" s="79"/>
      <c r="N4" s="73"/>
      <c r="O4" s="79"/>
      <c r="P4" s="77"/>
      <c r="Q4" s="79"/>
      <c r="R4" s="77"/>
      <c r="S4" s="1"/>
      <c r="T4" s="1"/>
      <c r="U4" s="101"/>
      <c r="V4" s="1"/>
    </row>
    <row r="5" spans="1:22">
      <c r="A5" s="129">
        <v>1</v>
      </c>
      <c r="B5" s="54">
        <v>1.1563888888888889E-3</v>
      </c>
      <c r="C5" s="129">
        <v>1</v>
      </c>
      <c r="D5" s="54">
        <v>1.1333796296296298E-3</v>
      </c>
      <c r="E5" s="129">
        <v>1</v>
      </c>
      <c r="F5" s="128">
        <v>1.1834375E-3</v>
      </c>
      <c r="G5" s="93">
        <v>1</v>
      </c>
      <c r="H5" s="128">
        <v>1.1095138888888888E-3</v>
      </c>
      <c r="I5" s="54"/>
      <c r="J5" s="1"/>
      <c r="K5" s="74"/>
      <c r="L5" s="77"/>
      <c r="M5" s="83"/>
      <c r="N5" s="73"/>
      <c r="O5" s="83"/>
      <c r="P5" s="77"/>
      <c r="Q5" s="79"/>
      <c r="R5" s="77"/>
      <c r="S5" s="1"/>
      <c r="T5" s="1"/>
      <c r="U5" s="101"/>
      <c r="V5" s="1"/>
    </row>
    <row r="6" spans="1:22">
      <c r="A6" s="129">
        <v>2</v>
      </c>
      <c r="B6" s="54">
        <v>1.051238425925926E-3</v>
      </c>
      <c r="C6" s="129">
        <v>2</v>
      </c>
      <c r="D6" s="54">
        <v>1.0351736111111111E-3</v>
      </c>
      <c r="E6" s="129">
        <v>2</v>
      </c>
      <c r="F6" s="128">
        <v>1.0527083333333334E-3</v>
      </c>
      <c r="G6" s="93">
        <v>2</v>
      </c>
      <c r="H6" s="128">
        <v>1.0182291666666666E-3</v>
      </c>
      <c r="I6" s="54"/>
      <c r="J6" s="1"/>
      <c r="K6" s="74"/>
      <c r="L6" s="77"/>
      <c r="M6" s="79"/>
      <c r="N6" s="73"/>
      <c r="O6" s="79"/>
      <c r="P6" s="77"/>
      <c r="Q6" s="79"/>
      <c r="R6" s="77"/>
      <c r="S6" s="1"/>
      <c r="T6" s="1"/>
      <c r="U6" s="101"/>
      <c r="V6" s="1"/>
    </row>
    <row r="7" spans="1:22">
      <c r="A7" s="129">
        <v>3</v>
      </c>
      <c r="B7" s="54">
        <v>1.0406597222222221E-3</v>
      </c>
      <c r="C7" s="129">
        <v>3</v>
      </c>
      <c r="D7" s="54">
        <v>1.0439004629629628E-3</v>
      </c>
      <c r="E7" s="129">
        <v>3</v>
      </c>
      <c r="F7" s="128">
        <v>1.0551967592592592E-3</v>
      </c>
      <c r="G7" s="93">
        <v>3</v>
      </c>
      <c r="H7" s="128">
        <v>1.0220254629629629E-3</v>
      </c>
      <c r="I7" s="54"/>
      <c r="J7" s="1"/>
      <c r="K7" s="74"/>
      <c r="L7" s="77"/>
      <c r="M7" s="83"/>
      <c r="N7" s="73"/>
      <c r="O7" s="83"/>
      <c r="P7" s="77"/>
      <c r="Q7" s="79"/>
      <c r="R7" s="77"/>
      <c r="S7" s="1"/>
      <c r="T7" s="1"/>
      <c r="U7" s="101"/>
      <c r="V7" s="1"/>
    </row>
    <row r="8" spans="1:22">
      <c r="A8" s="129">
        <v>4</v>
      </c>
      <c r="B8" s="54">
        <v>1.0437962962962964E-3</v>
      </c>
      <c r="C8" s="129">
        <v>4</v>
      </c>
      <c r="D8" s="54">
        <v>1.0429282407407408E-3</v>
      </c>
      <c r="E8" s="129">
        <v>4</v>
      </c>
      <c r="F8" s="128">
        <v>1.0487268518518519E-3</v>
      </c>
      <c r="G8" s="93">
        <v>4</v>
      </c>
      <c r="H8" s="128">
        <v>1.0204282407407406E-3</v>
      </c>
      <c r="I8" s="54"/>
      <c r="J8" s="1"/>
      <c r="K8" s="74"/>
      <c r="L8" s="77"/>
      <c r="M8" s="79"/>
      <c r="N8" s="73"/>
      <c r="O8" s="79"/>
      <c r="P8" s="77"/>
      <c r="Q8" s="79"/>
      <c r="R8" s="77"/>
      <c r="S8" s="1"/>
      <c r="T8" s="1"/>
      <c r="U8" s="101"/>
      <c r="V8" s="1"/>
    </row>
    <row r="9" spans="1:22">
      <c r="A9" s="129">
        <v>5</v>
      </c>
      <c r="B9" s="54">
        <v>1.0291782407407407E-3</v>
      </c>
      <c r="C9" s="129">
        <v>5</v>
      </c>
      <c r="D9" s="54">
        <v>1.0516203703703703E-3</v>
      </c>
      <c r="E9" s="129">
        <v>5</v>
      </c>
      <c r="F9" s="128">
        <v>1.048715277777778E-3</v>
      </c>
      <c r="G9" s="93">
        <v>5</v>
      </c>
      <c r="H9" s="128">
        <v>1.0226157407407408E-3</v>
      </c>
      <c r="I9" s="54"/>
      <c r="J9" s="1"/>
      <c r="K9" s="74"/>
      <c r="L9" s="77"/>
      <c r="M9" s="79"/>
      <c r="N9" s="73"/>
      <c r="O9" s="79"/>
      <c r="P9" s="77"/>
      <c r="Q9" s="79"/>
      <c r="R9" s="77"/>
      <c r="S9" s="1"/>
      <c r="T9" s="1"/>
      <c r="U9" s="101"/>
      <c r="V9" s="1"/>
    </row>
    <row r="10" spans="1:22">
      <c r="A10" s="129">
        <v>6</v>
      </c>
      <c r="B10" s="54">
        <v>1.0416203703703703E-3</v>
      </c>
      <c r="C10" s="129">
        <v>6</v>
      </c>
      <c r="D10" s="54">
        <v>1.0490972222222221E-3</v>
      </c>
      <c r="E10" s="129">
        <v>6</v>
      </c>
      <c r="F10" s="128">
        <v>1.0729166666666667E-3</v>
      </c>
      <c r="G10" s="93">
        <v>6</v>
      </c>
      <c r="H10" s="128">
        <v>1.022199074074074E-3</v>
      </c>
      <c r="I10" s="54"/>
      <c r="J10" s="1"/>
      <c r="K10" s="72"/>
      <c r="L10" s="77"/>
      <c r="M10" s="83"/>
      <c r="N10" s="73"/>
      <c r="O10" s="83"/>
      <c r="P10" s="77"/>
      <c r="Q10" s="79"/>
      <c r="R10" s="77"/>
      <c r="S10" s="1"/>
      <c r="T10" s="1"/>
      <c r="U10" s="101"/>
      <c r="V10" s="1"/>
    </row>
    <row r="11" spans="1:22">
      <c r="A11" s="129">
        <v>7</v>
      </c>
      <c r="B11" s="54">
        <v>1.0474305555555556E-3</v>
      </c>
      <c r="C11" s="129">
        <v>7</v>
      </c>
      <c r="D11" s="54">
        <v>1.0388541666666667E-3</v>
      </c>
      <c r="E11" s="129">
        <v>7</v>
      </c>
      <c r="F11" s="128">
        <v>1.0433796296296296E-3</v>
      </c>
      <c r="G11" s="93">
        <v>7</v>
      </c>
      <c r="H11" s="128">
        <v>1.0287152777777777E-3</v>
      </c>
      <c r="I11" s="54"/>
      <c r="J11" s="1"/>
      <c r="K11" s="72"/>
      <c r="L11" s="77"/>
      <c r="M11" s="79"/>
      <c r="N11" s="73"/>
      <c r="O11" s="79"/>
      <c r="P11" s="77"/>
      <c r="Q11" s="79"/>
      <c r="R11" s="77"/>
      <c r="S11" s="1"/>
      <c r="T11" s="1"/>
      <c r="U11" s="101"/>
      <c r="V11" s="1"/>
    </row>
    <row r="12" spans="1:22">
      <c r="A12" s="129">
        <v>8</v>
      </c>
      <c r="B12" s="54">
        <v>1.0408217592592591E-3</v>
      </c>
      <c r="C12" s="129">
        <v>8</v>
      </c>
      <c r="D12" s="54">
        <v>1.034363425925926E-3</v>
      </c>
      <c r="E12" s="129">
        <v>8</v>
      </c>
      <c r="F12" s="128">
        <v>1.0781828703703704E-3</v>
      </c>
      <c r="G12" s="93">
        <v>8</v>
      </c>
      <c r="H12" s="128">
        <v>1.0234375E-3</v>
      </c>
      <c r="I12" s="54"/>
      <c r="J12" s="1"/>
      <c r="K12" s="72"/>
      <c r="L12" s="77"/>
      <c r="M12" s="79"/>
      <c r="N12" s="73"/>
      <c r="O12" s="79"/>
      <c r="P12" s="77"/>
      <c r="Q12" s="79"/>
      <c r="R12" s="77"/>
      <c r="S12" s="1"/>
      <c r="T12" s="1"/>
      <c r="U12" s="101"/>
      <c r="V12" s="1"/>
    </row>
    <row r="13" spans="1:22">
      <c r="A13" s="129">
        <v>9</v>
      </c>
      <c r="B13" s="54">
        <v>1.0427430555555557E-3</v>
      </c>
      <c r="C13" s="129">
        <v>9</v>
      </c>
      <c r="D13" s="54">
        <v>1.0282638888888889E-3</v>
      </c>
      <c r="E13" s="129">
        <v>9</v>
      </c>
      <c r="F13" s="128">
        <v>1.049664351851852E-3</v>
      </c>
      <c r="G13" s="93">
        <v>9</v>
      </c>
      <c r="H13" s="128">
        <v>1.0294212962962963E-3</v>
      </c>
      <c r="I13" s="54"/>
      <c r="J13" s="1"/>
      <c r="K13" s="72"/>
      <c r="L13" s="77"/>
      <c r="M13" s="79"/>
      <c r="N13" s="73"/>
      <c r="O13" s="79"/>
      <c r="P13" s="77"/>
      <c r="Q13" s="79"/>
      <c r="R13" s="77"/>
      <c r="S13" s="1"/>
      <c r="T13" s="54"/>
      <c r="U13" s="101"/>
      <c r="V13" s="1"/>
    </row>
    <row r="14" spans="1:22">
      <c r="A14" s="129">
        <v>10</v>
      </c>
      <c r="B14" s="54">
        <v>1.0472916666666666E-3</v>
      </c>
      <c r="C14" s="129">
        <v>10</v>
      </c>
      <c r="D14" s="54">
        <v>1.0509375E-3</v>
      </c>
      <c r="E14" s="129">
        <v>10</v>
      </c>
      <c r="F14" s="128">
        <v>1.0534027777777777E-3</v>
      </c>
      <c r="G14" s="93">
        <v>10</v>
      </c>
      <c r="H14" s="128">
        <v>1.0265277777777779E-3</v>
      </c>
      <c r="I14" s="54"/>
      <c r="J14" s="1"/>
      <c r="K14" s="72"/>
      <c r="L14" s="77"/>
      <c r="M14" s="79"/>
      <c r="N14" s="73"/>
      <c r="O14" s="79"/>
      <c r="P14" s="77"/>
      <c r="Q14" s="79"/>
      <c r="R14" s="77"/>
      <c r="S14" s="1"/>
      <c r="T14" s="1"/>
      <c r="U14" s="101"/>
      <c r="V14" s="1"/>
    </row>
    <row r="15" spans="1:22">
      <c r="A15" s="129">
        <v>11</v>
      </c>
      <c r="B15" s="54">
        <v>1.0354050925925925E-3</v>
      </c>
      <c r="C15" s="129">
        <v>11</v>
      </c>
      <c r="D15" s="54">
        <v>1.0414467592592591E-3</v>
      </c>
      <c r="E15" s="129">
        <v>11</v>
      </c>
      <c r="F15" s="128">
        <v>1.0431134259259258E-3</v>
      </c>
      <c r="G15" s="93">
        <v>11</v>
      </c>
      <c r="H15" s="128">
        <v>1.0215046296296296E-3</v>
      </c>
      <c r="I15" s="54"/>
      <c r="J15" s="1"/>
      <c r="K15" s="72"/>
      <c r="L15" s="77"/>
      <c r="M15" s="83"/>
      <c r="N15" s="73"/>
      <c r="O15" s="83"/>
      <c r="P15" s="77"/>
      <c r="Q15" s="79"/>
      <c r="R15" s="77"/>
      <c r="S15" s="1"/>
      <c r="T15" s="1"/>
      <c r="U15" s="101"/>
      <c r="V15" s="1"/>
    </row>
    <row r="16" spans="1:22">
      <c r="A16" s="129">
        <v>12</v>
      </c>
      <c r="B16" s="54">
        <v>1.0411805555555556E-3</v>
      </c>
      <c r="C16" s="129">
        <v>12</v>
      </c>
      <c r="D16" s="54">
        <v>1.0483680555555556E-3</v>
      </c>
      <c r="E16" s="129">
        <v>12</v>
      </c>
      <c r="F16" s="128">
        <v>1.0588888888888889E-3</v>
      </c>
      <c r="G16" s="93">
        <v>12</v>
      </c>
      <c r="H16" s="128">
        <v>1.0217245370370371E-3</v>
      </c>
      <c r="I16" s="54"/>
      <c r="J16" s="1"/>
      <c r="K16" s="72"/>
      <c r="L16" s="77"/>
      <c r="M16" s="84"/>
      <c r="N16" s="73"/>
      <c r="O16" s="84"/>
      <c r="P16" s="77"/>
      <c r="Q16" s="79"/>
      <c r="R16" s="77"/>
      <c r="S16" s="1"/>
      <c r="T16" s="1"/>
      <c r="U16" s="101"/>
      <c r="V16" s="1"/>
    </row>
    <row r="17" spans="1:24">
      <c r="A17" s="129">
        <v>13</v>
      </c>
      <c r="B17" s="54">
        <v>1.0469212962962964E-3</v>
      </c>
      <c r="C17" s="129">
        <v>13</v>
      </c>
      <c r="D17" s="54">
        <v>1.0565509259259258E-3</v>
      </c>
      <c r="E17" s="129">
        <v>13</v>
      </c>
      <c r="F17" s="128">
        <v>1.0561921296296296E-3</v>
      </c>
      <c r="G17" s="93">
        <v>13</v>
      </c>
      <c r="H17" s="128">
        <v>1.0304976851851851E-3</v>
      </c>
      <c r="I17" s="54"/>
      <c r="J17" s="1"/>
      <c r="K17" s="75"/>
      <c r="L17" s="78"/>
      <c r="M17" s="81"/>
      <c r="N17" s="76"/>
      <c r="O17" s="81"/>
      <c r="P17" s="78"/>
      <c r="Q17" s="81"/>
      <c r="R17" s="78"/>
      <c r="S17" s="1"/>
      <c r="T17" s="1"/>
      <c r="U17" s="101"/>
      <c r="V17" s="1"/>
      <c r="W17" s="1"/>
      <c r="X17" s="1"/>
    </row>
    <row r="18" spans="1:24">
      <c r="A18" s="129">
        <v>14</v>
      </c>
      <c r="B18" s="54">
        <v>1.0446412037037037E-3</v>
      </c>
      <c r="C18" s="129">
        <v>14</v>
      </c>
      <c r="D18" s="54">
        <v>1.0432638888888889E-3</v>
      </c>
      <c r="E18" s="129">
        <v>14</v>
      </c>
      <c r="F18" s="128">
        <v>1.0657870370370372E-3</v>
      </c>
      <c r="G18" s="93">
        <v>14</v>
      </c>
      <c r="H18" s="128">
        <v>1.0303240740740741E-3</v>
      </c>
      <c r="I18" s="5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01"/>
      <c r="V18" s="1"/>
      <c r="W18" s="1"/>
      <c r="X18" s="1"/>
    </row>
    <row r="19" spans="1:24" s="1" customFormat="1">
      <c r="A19" s="129">
        <v>15</v>
      </c>
      <c r="B19" s="54">
        <v>1.0400231481481482E-3</v>
      </c>
      <c r="C19" s="129">
        <v>15</v>
      </c>
      <c r="D19" s="54">
        <v>1.041875E-3</v>
      </c>
      <c r="E19" s="129">
        <v>15</v>
      </c>
      <c r="F19" s="128">
        <v>1.0623148148148148E-3</v>
      </c>
      <c r="G19" s="93">
        <v>15</v>
      </c>
      <c r="H19" s="128">
        <v>1.0273495370370371E-3</v>
      </c>
      <c r="I19" s="54"/>
      <c r="U19" s="101"/>
    </row>
    <row r="20" spans="1:24" s="1" customFormat="1">
      <c r="A20" s="129">
        <v>16</v>
      </c>
      <c r="B20" s="54">
        <v>1.0518055555555556E-3</v>
      </c>
      <c r="C20" s="129">
        <v>16</v>
      </c>
      <c r="D20" s="54">
        <v>1.0398958333333334E-3</v>
      </c>
      <c r="E20" s="129">
        <v>16</v>
      </c>
      <c r="F20" s="128">
        <v>1.046851851851852E-3</v>
      </c>
      <c r="G20" s="93">
        <v>16</v>
      </c>
      <c r="H20" s="128">
        <v>1.0275810185185186E-3</v>
      </c>
      <c r="I20" s="54"/>
      <c r="L20" s="54" t="e">
        <f>+AVERAGE(L3:L10,L14:L17)</f>
        <v>#DIV/0!</v>
      </c>
      <c r="M20" s="71"/>
      <c r="N20" s="54" t="e">
        <f>+AVERAGE(N3:N10,N14:N17)</f>
        <v>#DIV/0!</v>
      </c>
      <c r="P20" s="54" t="e">
        <f>+AVERAGE(P3:P10,P14:P17)</f>
        <v>#DIV/0!</v>
      </c>
      <c r="Q20" s="71"/>
      <c r="R20" s="54" t="e">
        <f>+AVERAGE(R3:R10,R14:R17)</f>
        <v>#DIV/0!</v>
      </c>
      <c r="U20" s="101"/>
    </row>
    <row r="21" spans="1:24" s="1" customFormat="1">
      <c r="A21" s="129">
        <v>17</v>
      </c>
      <c r="B21" s="54">
        <v>1.0396875E-3</v>
      </c>
      <c r="C21" s="129">
        <v>17</v>
      </c>
      <c r="D21" s="54">
        <v>1.0369212962962964E-3</v>
      </c>
      <c r="E21" s="129">
        <v>17</v>
      </c>
      <c r="F21" s="128">
        <v>1.0374074074074075E-3</v>
      </c>
      <c r="G21" s="93">
        <v>17</v>
      </c>
      <c r="H21" s="128">
        <v>1.032824074074074E-3</v>
      </c>
      <c r="I21" s="54"/>
      <c r="L21" s="54"/>
      <c r="U21" s="101"/>
    </row>
    <row r="22" spans="1:24" s="1" customFormat="1">
      <c r="A22" s="129">
        <v>18</v>
      </c>
      <c r="B22" s="54">
        <v>1.0963541666666667E-3</v>
      </c>
      <c r="C22" s="129">
        <v>18</v>
      </c>
      <c r="D22" s="54">
        <v>1.0872569444444443E-3</v>
      </c>
      <c r="E22" s="129">
        <v>18</v>
      </c>
      <c r="F22" s="128">
        <v>1.1273611111111111E-3</v>
      </c>
      <c r="G22" s="93">
        <v>18</v>
      </c>
      <c r="H22" s="128">
        <v>1.0513657407407407E-3</v>
      </c>
      <c r="I22" s="54"/>
      <c r="L22" s="85" t="e">
        <f>+AVERAGE(L20:L21)</f>
        <v>#DIV/0!</v>
      </c>
      <c r="M22" s="86"/>
      <c r="N22" s="87" t="e">
        <f>+SUM(N20-L20)</f>
        <v>#DIV/0!</v>
      </c>
      <c r="P22" s="87" t="e">
        <f>+SUM(P20-L20)</f>
        <v>#DIV/0!</v>
      </c>
      <c r="Q22" s="86"/>
      <c r="R22" s="87" t="e">
        <f>+SUM(R20-L20)</f>
        <v>#DIV/0!</v>
      </c>
      <c r="U22" s="101"/>
    </row>
    <row r="23" spans="1:24" s="1" customFormat="1">
      <c r="A23" s="129">
        <v>19</v>
      </c>
      <c r="B23" s="54">
        <v>1.4269212962962964E-3</v>
      </c>
      <c r="C23" s="129">
        <v>19</v>
      </c>
      <c r="D23" s="54">
        <v>1.4564467592592593E-3</v>
      </c>
      <c r="E23" s="129">
        <v>19</v>
      </c>
      <c r="F23" s="128">
        <v>1.1922337962962963E-3</v>
      </c>
      <c r="G23" s="93">
        <v>19</v>
      </c>
      <c r="H23" s="128">
        <v>1.7965277777777777E-3</v>
      </c>
      <c r="I23" s="54"/>
    </row>
    <row r="24" spans="1:24">
      <c r="A24" s="129">
        <v>20</v>
      </c>
      <c r="B24" s="54">
        <v>1.1322569444444444E-3</v>
      </c>
      <c r="C24" s="129">
        <v>20</v>
      </c>
      <c r="D24" s="54">
        <v>1.0670138888888888E-3</v>
      </c>
      <c r="E24" s="129">
        <v>20</v>
      </c>
      <c r="F24" s="128">
        <v>1.0685069444444444E-3</v>
      </c>
      <c r="G24" s="93">
        <v>20</v>
      </c>
      <c r="H24" s="128">
        <v>1.1387384259259259E-3</v>
      </c>
      <c r="I24" s="5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s="1" customFormat="1">
      <c r="B25" s="85"/>
      <c r="C25" s="86"/>
      <c r="D25" s="87"/>
      <c r="E25" s="86"/>
      <c r="F25" s="87"/>
      <c r="H25" s="87"/>
    </row>
    <row r="26" spans="1:24" s="1" customFormat="1"/>
    <row r="27" spans="1:24" s="1" customFormat="1">
      <c r="A27" s="1" t="s">
        <v>63</v>
      </c>
      <c r="B27" s="54">
        <f>+AVERAGE(B5:B13,B20:B24)</f>
        <v>1.0886359126984128E-3</v>
      </c>
      <c r="D27" s="54">
        <f>+AVERAGE(D5:D13,D20:D24)</f>
        <v>1.0817939814814815E-3</v>
      </c>
      <c r="F27" s="54">
        <f>+AVERAGE(F5:F22,F24)</f>
        <v>1.065934454191033E-3</v>
      </c>
      <c r="H27" s="54">
        <f>AVERAGE(H5:H22)</f>
        <v>1.0314602623456787E-3</v>
      </c>
    </row>
    <row r="28" spans="1:24" s="1" customFormat="1">
      <c r="K28" s="54"/>
      <c r="L28" s="54"/>
      <c r="M28" s="54"/>
    </row>
    <row r="29" spans="1:24">
      <c r="A29" s="1"/>
      <c r="B29" s="87">
        <f>+SUM(B27-H27)</f>
        <v>5.7175650352734144E-5</v>
      </c>
      <c r="C29" s="86"/>
      <c r="D29" s="87">
        <f>+SUM(D27-H27)</f>
        <v>5.0333719135802835E-5</v>
      </c>
      <c r="E29" s="86"/>
      <c r="F29" s="87">
        <f>+SUM(F27-H27)</f>
        <v>3.4474191845354323E-5</v>
      </c>
      <c r="G29" s="1"/>
      <c r="H29" s="54">
        <v>1.0314602623456787E-3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>
      <c r="A31" s="86" t="s">
        <v>64</v>
      </c>
      <c r="B31" s="54">
        <v>1.0291782407407407E-3</v>
      </c>
      <c r="C31" s="1"/>
      <c r="D31" s="54">
        <f>+SMALL(D5:D24,1)</f>
        <v>1.0282638888888889E-3</v>
      </c>
      <c r="E31" s="1"/>
      <c r="F31" s="54">
        <f>+SMALL(F5:F24,1)</f>
        <v>1.0374074074074075E-3</v>
      </c>
      <c r="G31" s="1"/>
      <c r="H31" s="54">
        <v>1.0204282407407406E-3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s="1" customFormat="1"/>
    <row r="34" spans="1:2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34.5">
      <c r="A35" s="121"/>
      <c r="B35" s="121"/>
      <c r="C35" s="121"/>
      <c r="D35" s="121"/>
      <c r="E35" s="121"/>
      <c r="F35" s="121"/>
      <c r="G35" s="121"/>
      <c r="H35" s="121"/>
      <c r="I35" s="97"/>
      <c r="J35" s="1"/>
      <c r="K35" s="121"/>
      <c r="L35" s="121"/>
      <c r="M35" s="121"/>
      <c r="N35" s="121"/>
      <c r="O35" s="121"/>
      <c r="P35" s="121"/>
      <c r="Q35" s="121"/>
      <c r="R35" s="121"/>
      <c r="S35" s="1"/>
      <c r="T35" s="1"/>
      <c r="U35" s="1"/>
      <c r="V35" s="1"/>
      <c r="W35" s="1"/>
      <c r="X35" s="1"/>
    </row>
    <row r="36" spans="1:24" s="1" customFormat="1">
      <c r="A36" s="126"/>
      <c r="B36" s="127"/>
      <c r="C36" s="126"/>
      <c r="D36" s="127"/>
      <c r="E36" s="126"/>
      <c r="F36" s="127"/>
      <c r="G36" s="126"/>
      <c r="H36" s="127"/>
      <c r="K36" s="126"/>
      <c r="L36" s="127"/>
      <c r="M36" s="126"/>
      <c r="N36" s="127"/>
      <c r="O36" s="126"/>
      <c r="P36" s="127"/>
      <c r="Q36" s="126"/>
      <c r="R36" s="127"/>
    </row>
    <row r="37" spans="1:24">
      <c r="A37" s="122"/>
      <c r="B37" s="123"/>
      <c r="C37" s="122"/>
      <c r="D37" s="123"/>
      <c r="E37" s="124"/>
      <c r="F37" s="125"/>
      <c r="G37" s="122"/>
      <c r="H37" s="123"/>
      <c r="I37" s="1"/>
      <c r="J37" s="1"/>
      <c r="K37" s="122"/>
      <c r="L37" s="123"/>
      <c r="M37" s="122"/>
      <c r="N37" s="123"/>
      <c r="O37" s="124"/>
      <c r="P37" s="125"/>
      <c r="Q37" s="122"/>
      <c r="R37" s="123"/>
      <c r="S37" s="1"/>
      <c r="T37" s="1"/>
      <c r="U37" s="1"/>
      <c r="V37" s="1"/>
      <c r="W37" s="1"/>
      <c r="X37" s="1"/>
    </row>
    <row r="38" spans="1:24">
      <c r="A38" s="129"/>
      <c r="B38" s="128"/>
      <c r="C38" s="129"/>
      <c r="D38" s="128"/>
      <c r="E38" s="129"/>
      <c r="F38" s="128"/>
      <c r="G38" s="93"/>
      <c r="H38" s="94"/>
      <c r="I38" s="1"/>
      <c r="J38" s="1"/>
      <c r="K38" s="130"/>
      <c r="L38" s="131"/>
      <c r="M38" s="130"/>
      <c r="N38" s="131"/>
      <c r="O38" s="89"/>
      <c r="P38" s="90"/>
      <c r="Q38" s="130"/>
      <c r="R38" s="131"/>
      <c r="S38" s="88"/>
      <c r="T38" s="1"/>
      <c r="U38" s="1"/>
      <c r="V38" s="1"/>
      <c r="W38" s="1"/>
      <c r="X38" s="1"/>
    </row>
    <row r="39" spans="1:24">
      <c r="A39" s="129"/>
      <c r="B39" s="128"/>
      <c r="C39" s="129"/>
      <c r="D39" s="128"/>
      <c r="E39" s="129"/>
      <c r="F39" s="128"/>
      <c r="G39" s="93"/>
      <c r="H39" s="94"/>
      <c r="I39" s="1"/>
      <c r="J39" s="1"/>
      <c r="K39" s="130"/>
      <c r="L39" s="131"/>
      <c r="M39" s="130"/>
      <c r="N39" s="131"/>
      <c r="O39" s="89"/>
      <c r="P39" s="90"/>
      <c r="Q39" s="130"/>
      <c r="R39" s="131"/>
      <c r="S39" s="1"/>
      <c r="T39" s="1"/>
      <c r="U39" s="1"/>
      <c r="V39" s="1"/>
      <c r="W39" s="1"/>
      <c r="X39" s="1"/>
    </row>
    <row r="40" spans="1:24">
      <c r="A40" s="129"/>
      <c r="B40" s="128"/>
      <c r="C40" s="129"/>
      <c r="D40" s="128"/>
      <c r="E40" s="129"/>
      <c r="F40" s="128"/>
      <c r="G40" s="93"/>
      <c r="H40" s="94"/>
      <c r="I40" s="1"/>
      <c r="J40" s="1"/>
      <c r="K40" s="130"/>
      <c r="L40" s="131"/>
      <c r="M40" s="130"/>
      <c r="N40" s="131"/>
      <c r="O40" s="89"/>
      <c r="P40" s="90"/>
      <c r="Q40" s="130"/>
      <c r="R40" s="131"/>
      <c r="S40" s="1"/>
      <c r="T40" s="1"/>
      <c r="U40" s="1"/>
      <c r="V40" s="1"/>
      <c r="W40" s="1"/>
      <c r="X40" s="1"/>
    </row>
    <row r="41" spans="1:24">
      <c r="A41" s="129"/>
      <c r="B41" s="128"/>
      <c r="C41" s="129"/>
      <c r="D41" s="128"/>
      <c r="E41" s="129"/>
      <c r="F41" s="128"/>
      <c r="G41" s="93"/>
      <c r="H41" s="94"/>
      <c r="I41" s="1"/>
      <c r="J41" s="1"/>
      <c r="K41" s="130"/>
      <c r="L41" s="131"/>
      <c r="M41" s="130"/>
      <c r="N41" s="131"/>
      <c r="O41" s="89"/>
      <c r="P41" s="90"/>
      <c r="Q41" s="130"/>
      <c r="R41" s="131"/>
      <c r="S41" s="1"/>
      <c r="T41" s="1"/>
      <c r="U41" s="1"/>
      <c r="V41" s="1"/>
      <c r="W41" s="1"/>
      <c r="X41" s="1"/>
    </row>
    <row r="42" spans="1:24">
      <c r="A42" s="129"/>
      <c r="B42" s="128"/>
      <c r="C42" s="129"/>
      <c r="D42" s="128"/>
      <c r="E42" s="129"/>
      <c r="F42" s="128"/>
      <c r="G42" s="93"/>
      <c r="H42" s="94"/>
      <c r="I42" s="1"/>
      <c r="J42" s="1"/>
      <c r="K42" s="130"/>
      <c r="L42" s="131"/>
      <c r="M42" s="130"/>
      <c r="N42" s="131"/>
      <c r="O42" s="89"/>
      <c r="P42" s="90"/>
      <c r="Q42" s="130"/>
      <c r="R42" s="131"/>
      <c r="S42" s="1"/>
      <c r="T42" s="1"/>
      <c r="U42" s="1"/>
      <c r="V42" s="1"/>
      <c r="W42" s="54">
        <f>+SUM(D62*1.15)</f>
        <v>0</v>
      </c>
      <c r="X42" s="1"/>
    </row>
    <row r="43" spans="1:24">
      <c r="A43" s="129"/>
      <c r="B43" s="128"/>
      <c r="C43" s="129"/>
      <c r="D43" s="128"/>
      <c r="E43" s="129"/>
      <c r="F43" s="128"/>
      <c r="G43" s="93"/>
      <c r="H43" s="94"/>
      <c r="I43" s="1"/>
      <c r="J43" s="1"/>
      <c r="K43" s="130"/>
      <c r="L43" s="131"/>
      <c r="M43" s="130"/>
      <c r="N43" s="131"/>
      <c r="O43" s="89"/>
      <c r="P43" s="90"/>
      <c r="Q43" s="130"/>
      <c r="R43" s="131"/>
      <c r="S43" s="1"/>
      <c r="T43" s="1"/>
      <c r="U43" s="1"/>
      <c r="V43" s="1"/>
      <c r="W43" s="1"/>
      <c r="X43" s="1"/>
    </row>
    <row r="44" spans="1:24">
      <c r="A44" s="129"/>
      <c r="B44" s="128"/>
      <c r="C44" s="129"/>
      <c r="D44" s="128"/>
      <c r="E44" s="129"/>
      <c r="F44" s="128"/>
      <c r="G44" s="93"/>
      <c r="H44" s="94"/>
      <c r="I44" s="1"/>
      <c r="J44" s="1"/>
      <c r="K44" s="130"/>
      <c r="L44" s="131"/>
      <c r="M44" s="130"/>
      <c r="N44" s="131"/>
      <c r="O44" s="89"/>
      <c r="P44" s="90"/>
      <c r="Q44" s="130"/>
      <c r="R44" s="131"/>
      <c r="S44" s="1"/>
      <c r="T44" s="1"/>
      <c r="U44" s="1"/>
      <c r="V44" s="1"/>
      <c r="W44" s="1"/>
      <c r="X44" s="1"/>
    </row>
    <row r="45" spans="1:24">
      <c r="A45" s="129"/>
      <c r="B45" s="128"/>
      <c r="C45" s="129"/>
      <c r="D45" s="128"/>
      <c r="E45" s="129"/>
      <c r="F45" s="128"/>
      <c r="G45" s="93"/>
      <c r="H45" s="94"/>
      <c r="I45" s="1"/>
      <c r="J45" s="1"/>
      <c r="K45" s="130"/>
      <c r="L45" s="131"/>
      <c r="M45" s="130"/>
      <c r="N45" s="131"/>
      <c r="O45" s="89"/>
      <c r="P45" s="90"/>
      <c r="Q45" s="130"/>
      <c r="R45" s="131"/>
      <c r="S45" s="1"/>
      <c r="T45" s="1"/>
      <c r="U45" s="1"/>
      <c r="V45" s="1"/>
      <c r="W45" s="54">
        <f>+SUM(F60*1.05)</f>
        <v>0</v>
      </c>
      <c r="X45" s="1"/>
    </row>
    <row r="46" spans="1:24">
      <c r="A46" s="129"/>
      <c r="B46" s="128"/>
      <c r="C46" s="129"/>
      <c r="D46" s="128"/>
      <c r="E46" s="129"/>
      <c r="F46" s="128"/>
      <c r="G46" s="93"/>
      <c r="H46" s="94"/>
      <c r="I46" s="1"/>
      <c r="J46" s="1"/>
      <c r="K46" s="130"/>
      <c r="L46" s="131"/>
      <c r="M46" s="130"/>
      <c r="N46" s="131"/>
      <c r="O46" s="89"/>
      <c r="P46" s="90"/>
      <c r="Q46" s="130"/>
      <c r="R46" s="131"/>
      <c r="S46" s="1"/>
      <c r="T46" s="1"/>
      <c r="U46" s="1"/>
      <c r="V46" s="1"/>
      <c r="W46" s="1"/>
      <c r="X46" s="1"/>
    </row>
    <row r="47" spans="1:24">
      <c r="A47" s="129"/>
      <c r="B47" s="128"/>
      <c r="C47" s="129"/>
      <c r="D47" s="128"/>
      <c r="E47" s="129"/>
      <c r="F47" s="128"/>
      <c r="G47" s="93"/>
      <c r="H47" s="94"/>
      <c r="I47" s="1"/>
      <c r="J47" s="1"/>
      <c r="K47" s="130"/>
      <c r="L47" s="131"/>
      <c r="M47" s="130"/>
      <c r="N47" s="131"/>
      <c r="O47" s="89"/>
      <c r="P47" s="90"/>
      <c r="Q47" s="130"/>
      <c r="R47" s="131"/>
      <c r="S47" s="1"/>
      <c r="T47" s="1"/>
      <c r="U47" s="1"/>
      <c r="V47" s="1"/>
      <c r="W47" s="1"/>
      <c r="X47" s="1"/>
    </row>
    <row r="48" spans="1:24">
      <c r="A48" s="129"/>
      <c r="B48" s="128"/>
      <c r="C48" s="129"/>
      <c r="D48" s="128"/>
      <c r="E48" s="129"/>
      <c r="F48" s="128"/>
      <c r="G48" s="93"/>
      <c r="H48" s="94"/>
      <c r="I48" s="1"/>
      <c r="J48" s="1"/>
      <c r="K48" s="130"/>
      <c r="L48" s="131"/>
      <c r="M48" s="130"/>
      <c r="N48" s="131"/>
      <c r="O48" s="89"/>
      <c r="P48" s="90"/>
      <c r="Q48" s="130"/>
      <c r="R48" s="131"/>
      <c r="S48" s="1"/>
      <c r="T48" s="1"/>
      <c r="U48" s="1"/>
      <c r="V48" s="1"/>
      <c r="W48" s="54"/>
      <c r="X48" s="1"/>
    </row>
    <row r="49" spans="1:24">
      <c r="A49" s="129"/>
      <c r="B49" s="128"/>
      <c r="C49" s="129"/>
      <c r="D49" s="128"/>
      <c r="E49" s="129"/>
      <c r="F49" s="128"/>
      <c r="G49" s="93"/>
      <c r="H49" s="94"/>
      <c r="I49" s="1"/>
      <c r="J49" s="1"/>
      <c r="K49" s="130"/>
      <c r="L49" s="131"/>
      <c r="M49" s="130"/>
      <c r="N49" s="131"/>
      <c r="O49" s="89"/>
      <c r="P49" s="90"/>
      <c r="Q49" s="130"/>
      <c r="R49" s="131"/>
      <c r="S49" s="1"/>
      <c r="T49" s="1"/>
      <c r="U49" s="1"/>
      <c r="V49" s="1"/>
      <c r="W49" s="54">
        <f>+SUM(F64*1.1)</f>
        <v>0</v>
      </c>
      <c r="X49" s="1"/>
    </row>
    <row r="50" spans="1:24">
      <c r="A50" s="129"/>
      <c r="B50" s="128"/>
      <c r="C50" s="129"/>
      <c r="D50" s="128"/>
      <c r="E50" s="129"/>
      <c r="F50" s="128"/>
      <c r="G50" s="93"/>
      <c r="H50" s="94"/>
      <c r="I50" s="1"/>
      <c r="J50" s="1"/>
      <c r="K50" s="130"/>
      <c r="L50" s="131"/>
      <c r="M50" s="130"/>
      <c r="N50" s="131"/>
      <c r="O50" s="89"/>
      <c r="P50" s="90"/>
      <c r="Q50" s="130"/>
      <c r="R50" s="131"/>
      <c r="S50" s="1"/>
      <c r="T50" s="1"/>
      <c r="U50" s="1"/>
      <c r="V50" s="1"/>
      <c r="W50" s="1"/>
      <c r="X50" s="1"/>
    </row>
    <row r="51" spans="1:24">
      <c r="A51" s="129"/>
      <c r="B51" s="128"/>
      <c r="C51" s="129"/>
      <c r="D51" s="128"/>
      <c r="E51" s="129"/>
      <c r="F51" s="128"/>
      <c r="G51" s="93"/>
      <c r="H51" s="94"/>
      <c r="I51" s="1"/>
      <c r="J51" s="1"/>
      <c r="K51" s="130"/>
      <c r="L51" s="131"/>
      <c r="M51" s="130"/>
      <c r="N51" s="131"/>
      <c r="O51" s="89"/>
      <c r="P51" s="90"/>
      <c r="Q51" s="130"/>
      <c r="R51" s="131"/>
      <c r="S51" s="1"/>
      <c r="T51" s="1"/>
      <c r="U51" s="1"/>
      <c r="V51" s="1"/>
      <c r="W51" s="1"/>
      <c r="X51" s="1"/>
    </row>
    <row r="52" spans="1:24">
      <c r="A52" s="129"/>
      <c r="B52" s="128"/>
      <c r="C52" s="129"/>
      <c r="D52" s="128"/>
      <c r="E52" s="129"/>
      <c r="F52" s="128"/>
      <c r="G52" s="93"/>
      <c r="H52" s="94"/>
      <c r="I52" s="1"/>
      <c r="J52" s="1"/>
      <c r="K52" s="130"/>
      <c r="L52" s="131"/>
      <c r="M52" s="130"/>
      <c r="N52" s="131"/>
      <c r="O52" s="89"/>
      <c r="P52" s="90"/>
      <c r="Q52" s="130"/>
      <c r="R52" s="131"/>
      <c r="S52" s="1"/>
      <c r="T52" s="1"/>
      <c r="U52" s="1"/>
      <c r="V52" s="1"/>
      <c r="W52" s="1"/>
      <c r="X52" s="1"/>
    </row>
    <row r="53" spans="1:24">
      <c r="A53" s="129"/>
      <c r="B53" s="128"/>
      <c r="C53" s="129"/>
      <c r="D53" s="128"/>
      <c r="E53" s="129"/>
      <c r="F53" s="128"/>
      <c r="G53" s="93"/>
      <c r="H53" s="94"/>
      <c r="I53" s="1"/>
      <c r="J53" s="1"/>
      <c r="K53" s="130"/>
      <c r="L53" s="131"/>
      <c r="M53" s="130"/>
      <c r="N53" s="131"/>
      <c r="O53" s="89"/>
      <c r="P53" s="90"/>
      <c r="Q53" s="130"/>
      <c r="R53" s="131"/>
      <c r="S53" s="1"/>
      <c r="T53" s="1"/>
      <c r="U53" s="1"/>
      <c r="V53" s="1"/>
      <c r="W53" s="1"/>
      <c r="X53" s="1"/>
    </row>
    <row r="54" spans="1:24">
      <c r="A54" s="129"/>
      <c r="B54" s="128"/>
      <c r="C54" s="129"/>
      <c r="D54" s="128"/>
      <c r="E54" s="129"/>
      <c r="F54" s="128"/>
      <c r="G54" s="93"/>
      <c r="H54" s="94"/>
      <c r="I54" s="1"/>
      <c r="J54" s="1"/>
      <c r="K54" s="130"/>
      <c r="L54" s="131"/>
      <c r="M54" s="130"/>
      <c r="N54" s="131"/>
      <c r="O54" s="89"/>
      <c r="P54" s="90"/>
      <c r="Q54" s="130"/>
      <c r="R54" s="131"/>
      <c r="S54" s="54"/>
      <c r="T54" s="1"/>
      <c r="U54" s="1"/>
      <c r="V54" s="1"/>
      <c r="W54" s="1"/>
      <c r="X54" s="1"/>
    </row>
    <row r="55" spans="1:24">
      <c r="A55" s="129"/>
      <c r="B55" s="128"/>
      <c r="C55" s="129"/>
      <c r="D55" s="128"/>
      <c r="E55" s="129"/>
      <c r="F55" s="128"/>
      <c r="G55" s="93"/>
      <c r="H55" s="94"/>
      <c r="I55" s="1"/>
      <c r="J55" s="1"/>
      <c r="K55" s="130"/>
      <c r="L55" s="131"/>
      <c r="M55" s="130"/>
      <c r="N55" s="131"/>
      <c r="O55" s="89"/>
      <c r="P55" s="90"/>
      <c r="Q55" s="130"/>
      <c r="R55" s="131"/>
      <c r="S55" s="54"/>
      <c r="T55" s="1"/>
      <c r="U55" s="1"/>
      <c r="V55" s="1"/>
      <c r="W55" s="1"/>
      <c r="X55" s="1"/>
    </row>
    <row r="56" spans="1:24">
      <c r="A56" s="129"/>
      <c r="B56" s="128"/>
      <c r="C56" s="129"/>
      <c r="D56" s="128"/>
      <c r="E56" s="129"/>
      <c r="F56" s="128"/>
      <c r="G56" s="93"/>
      <c r="H56" s="94"/>
      <c r="I56" s="1"/>
      <c r="J56" s="1"/>
      <c r="K56" s="130"/>
      <c r="L56" s="131"/>
      <c r="M56" s="130"/>
      <c r="N56" s="131"/>
      <c r="O56" s="89"/>
      <c r="P56" s="90"/>
      <c r="Q56" s="130"/>
      <c r="R56" s="131"/>
      <c r="S56" s="54"/>
      <c r="T56" s="1"/>
      <c r="U56" s="1"/>
      <c r="V56" s="1"/>
      <c r="W56" s="54">
        <v>1.0964814814814813E-3</v>
      </c>
      <c r="X56" s="54">
        <f>+SUM(W56*1.05)</f>
        <v>1.1513055555555554E-3</v>
      </c>
    </row>
    <row r="57" spans="1:24">
      <c r="A57" s="129"/>
      <c r="B57" s="128"/>
      <c r="C57" s="129"/>
      <c r="D57" s="128"/>
      <c r="E57" s="129"/>
      <c r="F57" s="128"/>
      <c r="G57" s="93"/>
      <c r="H57" s="94"/>
      <c r="I57" s="1"/>
      <c r="J57" s="1"/>
      <c r="K57" s="132"/>
      <c r="L57" s="133"/>
      <c r="M57" s="132"/>
      <c r="N57" s="133"/>
      <c r="O57" s="91"/>
      <c r="P57" s="92"/>
      <c r="Q57" s="132"/>
      <c r="R57" s="133"/>
      <c r="S57" s="1"/>
      <c r="T57" s="1"/>
      <c r="U57" s="1"/>
      <c r="V57" s="1"/>
      <c r="W57" s="1"/>
      <c r="X57" s="54">
        <f>+SUM(W56*1.7)</f>
        <v>1.8640185185185181E-3</v>
      </c>
    </row>
    <row r="58" spans="1:24">
      <c r="A58" s="1"/>
      <c r="B58" s="85"/>
      <c r="C58" s="86"/>
      <c r="D58" s="87"/>
      <c r="E58" s="86"/>
      <c r="F58" s="87"/>
      <c r="G58" s="1"/>
      <c r="H58" s="8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71"/>
      <c r="V58" s="1"/>
      <c r="W58" s="1"/>
      <c r="X58" s="1"/>
    </row>
    <row r="59" spans="1:2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>
      <c r="A60" s="1"/>
      <c r="B60" s="54"/>
      <c r="C60" s="1"/>
      <c r="D60" s="54"/>
      <c r="E60" s="1"/>
      <c r="F60" s="54"/>
      <c r="G60" s="1"/>
      <c r="H60" s="54"/>
      <c r="I60" s="1"/>
      <c r="J60" s="1"/>
      <c r="K60" s="1"/>
      <c r="L60" s="54"/>
      <c r="M60" s="1"/>
      <c r="N60" s="54"/>
      <c r="O60" s="1"/>
      <c r="P60" s="54"/>
      <c r="Q60" s="1"/>
      <c r="R60" s="54"/>
      <c r="S60" s="1"/>
      <c r="T60" s="1"/>
      <c r="U60" s="1"/>
      <c r="V60" s="1"/>
      <c r="W60" s="1"/>
      <c r="X60" s="1"/>
    </row>
    <row r="61" spans="1:2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>
      <c r="A62" s="1"/>
      <c r="B62" s="87"/>
      <c r="C62" s="86"/>
      <c r="D62" s="54"/>
      <c r="E62" s="86"/>
      <c r="F62" s="87"/>
      <c r="G62" s="1"/>
      <c r="H62" s="87"/>
      <c r="I62" s="1"/>
      <c r="J62" s="1"/>
      <c r="K62" s="1"/>
      <c r="L62" s="87"/>
      <c r="M62" s="86"/>
      <c r="N62" s="54"/>
      <c r="O62" s="86"/>
      <c r="P62" s="87"/>
      <c r="Q62" s="1"/>
      <c r="R62" s="87"/>
      <c r="S62" s="1"/>
      <c r="T62" s="1"/>
      <c r="U62" s="1"/>
      <c r="V62" s="1"/>
      <c r="W62" s="1"/>
      <c r="X62" s="1"/>
    </row>
    <row r="63" spans="1:2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>
      <c r="A64" s="86"/>
      <c r="B64" s="54"/>
      <c r="C64" s="1"/>
      <c r="D64" s="54"/>
      <c r="E64" s="1"/>
      <c r="F64" s="54"/>
      <c r="G64" s="1"/>
      <c r="H64" s="54"/>
      <c r="I64" s="1"/>
      <c r="J64" s="1"/>
      <c r="K64" s="86"/>
      <c r="L64" s="54"/>
      <c r="M64" s="1"/>
      <c r="N64" s="54"/>
      <c r="O64" s="1"/>
      <c r="P64" s="54"/>
      <c r="Q64" s="1"/>
      <c r="R64" s="54"/>
      <c r="S64" s="1"/>
      <c r="T64" s="1"/>
      <c r="U64" s="1"/>
      <c r="V64" s="1"/>
      <c r="W64" s="1"/>
      <c r="X64" s="1"/>
    </row>
    <row r="65" spans="1:2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34.5">
      <c r="A67" s="121"/>
      <c r="B67" s="121"/>
      <c r="C67" s="121"/>
      <c r="D67" s="121"/>
      <c r="E67" s="121"/>
      <c r="F67" s="121"/>
      <c r="G67" s="121"/>
      <c r="H67" s="121"/>
      <c r="I67" s="1"/>
      <c r="J67" s="1"/>
      <c r="K67" s="121"/>
      <c r="L67" s="121"/>
      <c r="M67" s="121"/>
      <c r="N67" s="121"/>
      <c r="O67" s="121"/>
      <c r="P67" s="121"/>
      <c r="Q67" s="121"/>
      <c r="R67" s="121"/>
      <c r="S67" s="1"/>
      <c r="T67" s="1"/>
      <c r="U67" s="1"/>
      <c r="V67" s="1"/>
      <c r="W67" s="1"/>
      <c r="X67" s="1"/>
    </row>
    <row r="68" spans="1:24">
      <c r="A68" s="122"/>
      <c r="B68" s="123"/>
      <c r="C68" s="122"/>
      <c r="D68" s="123"/>
      <c r="E68" s="124"/>
      <c r="F68" s="125"/>
      <c r="G68" s="122"/>
      <c r="H68" s="123"/>
      <c r="I68" s="1"/>
      <c r="J68" s="1"/>
      <c r="K68" s="122"/>
      <c r="L68" s="123"/>
      <c r="M68" s="122"/>
      <c r="N68" s="123"/>
      <c r="O68" s="124"/>
      <c r="P68" s="125"/>
      <c r="Q68" s="122"/>
      <c r="R68" s="123"/>
      <c r="S68" s="1"/>
      <c r="T68" s="1"/>
      <c r="U68" s="1"/>
      <c r="V68" s="1"/>
      <c r="W68" s="1"/>
      <c r="X68" s="1"/>
    </row>
    <row r="69" spans="1:24">
      <c r="A69" s="1"/>
      <c r="B69" s="1"/>
      <c r="C69" s="129"/>
      <c r="D69" s="54"/>
      <c r="E69" s="1"/>
      <c r="F69" s="1"/>
      <c r="G69" s="129"/>
      <c r="H69" s="128"/>
      <c r="I69" s="1"/>
      <c r="J69" s="1"/>
      <c r="K69" s="1"/>
      <c r="L69" s="1"/>
      <c r="M69" s="1"/>
      <c r="N69" s="54"/>
      <c r="O69" s="1"/>
      <c r="P69" s="1"/>
      <c r="Q69" s="1"/>
      <c r="R69" s="54"/>
      <c r="S69" s="1"/>
      <c r="T69" s="1"/>
      <c r="U69" s="1"/>
      <c r="V69" s="1"/>
      <c r="W69" s="1"/>
      <c r="X69" s="1"/>
    </row>
    <row r="70" spans="1:24">
      <c r="A70" s="1"/>
      <c r="B70" s="1"/>
      <c r="C70" s="129"/>
      <c r="D70" s="54"/>
      <c r="E70" s="1"/>
      <c r="F70" s="1"/>
      <c r="G70" s="129"/>
      <c r="H70" s="128"/>
      <c r="I70" s="1"/>
      <c r="J70" s="1"/>
      <c r="K70" s="1"/>
      <c r="L70" s="1"/>
      <c r="M70" s="1"/>
      <c r="N70" s="54"/>
      <c r="O70" s="1"/>
      <c r="P70" s="1"/>
      <c r="Q70" s="1"/>
      <c r="R70" s="54"/>
      <c r="S70" s="1"/>
      <c r="T70" s="1"/>
      <c r="U70" s="1"/>
      <c r="V70" s="1"/>
      <c r="W70" s="1"/>
      <c r="X70" s="1"/>
    </row>
    <row r="71" spans="1:24">
      <c r="A71" s="1"/>
      <c r="B71" s="1"/>
      <c r="C71" s="129"/>
      <c r="D71" s="54"/>
      <c r="E71" s="1"/>
      <c r="F71" s="1"/>
      <c r="G71" s="129"/>
      <c r="H71" s="128"/>
      <c r="I71" s="1"/>
      <c r="J71" s="1"/>
      <c r="K71" s="1"/>
      <c r="L71" s="1"/>
      <c r="M71" s="1"/>
      <c r="N71" s="54"/>
      <c r="O71" s="1"/>
      <c r="P71" s="1"/>
      <c r="Q71" s="1"/>
      <c r="R71" s="54"/>
      <c r="S71" s="1"/>
      <c r="T71" s="1"/>
      <c r="U71" s="1"/>
      <c r="V71" s="1"/>
      <c r="W71" s="1"/>
      <c r="X71" s="1"/>
    </row>
    <row r="72" spans="1:24">
      <c r="A72" s="1"/>
      <c r="B72" s="1"/>
      <c r="C72" s="129"/>
      <c r="D72" s="54"/>
      <c r="E72" s="1"/>
      <c r="F72" s="1"/>
      <c r="G72" s="129"/>
      <c r="H72" s="128"/>
      <c r="I72" s="1"/>
      <c r="J72" s="1"/>
      <c r="K72" s="1"/>
      <c r="L72" s="1"/>
      <c r="M72" s="1"/>
      <c r="N72" s="54"/>
      <c r="O72" s="1"/>
      <c r="P72" s="1"/>
      <c r="Q72" s="1"/>
      <c r="R72" s="54"/>
      <c r="S72" s="1"/>
      <c r="T72" s="1"/>
      <c r="U72" s="1"/>
      <c r="V72" s="1"/>
      <c r="W72" s="1"/>
      <c r="X72" s="1"/>
    </row>
    <row r="73" spans="1:24">
      <c r="A73" s="1"/>
      <c r="B73" s="1"/>
      <c r="C73" s="129"/>
      <c r="D73" s="54"/>
      <c r="E73" s="1"/>
      <c r="F73" s="1"/>
      <c r="G73" s="129"/>
      <c r="H73" s="128"/>
      <c r="I73" s="1"/>
      <c r="J73" s="1"/>
      <c r="K73" s="1"/>
      <c r="L73" s="1"/>
      <c r="M73" s="1"/>
      <c r="N73" s="54"/>
      <c r="O73" s="1"/>
      <c r="P73" s="1"/>
      <c r="Q73" s="1"/>
      <c r="R73" s="54"/>
      <c r="S73" s="1"/>
      <c r="T73" s="1"/>
      <c r="U73" s="1"/>
      <c r="V73" s="1"/>
      <c r="W73" s="1"/>
      <c r="X73" s="1"/>
    </row>
    <row r="74" spans="1:24">
      <c r="A74" s="1"/>
      <c r="B74" s="1"/>
      <c r="C74" s="129"/>
      <c r="D74" s="54"/>
      <c r="E74" s="1"/>
      <c r="F74" s="1"/>
      <c r="G74" s="129"/>
      <c r="H74" s="128"/>
      <c r="I74" s="1"/>
      <c r="J74" s="1"/>
      <c r="K74" s="1"/>
      <c r="L74" s="1"/>
      <c r="M74" s="1"/>
      <c r="N74" s="54"/>
      <c r="O74" s="1"/>
      <c r="P74" s="1"/>
      <c r="Q74" s="1"/>
      <c r="R74" s="54"/>
      <c r="S74" s="1"/>
      <c r="T74" s="1"/>
      <c r="U74" s="1"/>
      <c r="V74" s="1"/>
      <c r="W74" s="1"/>
      <c r="X74" s="1"/>
    </row>
    <row r="75" spans="1:24">
      <c r="A75" s="1"/>
      <c r="B75" s="1"/>
      <c r="C75" s="129"/>
      <c r="D75" s="54"/>
      <c r="E75" s="1"/>
      <c r="F75" s="1"/>
      <c r="G75" s="129"/>
      <c r="H75" s="128"/>
      <c r="I75" s="1"/>
      <c r="J75" s="1"/>
      <c r="K75" s="1"/>
      <c r="L75" s="1"/>
      <c r="M75" s="1"/>
      <c r="N75" s="54"/>
      <c r="O75" s="1"/>
      <c r="P75" s="1"/>
      <c r="Q75" s="1"/>
      <c r="R75" s="54"/>
      <c r="S75" s="1"/>
      <c r="T75" s="1"/>
      <c r="U75" s="1"/>
      <c r="V75" s="1"/>
      <c r="W75" s="1"/>
      <c r="X75" s="1"/>
    </row>
    <row r="76" spans="1:24">
      <c r="A76" s="1"/>
      <c r="B76" s="1"/>
      <c r="C76" s="129"/>
      <c r="D76" s="54"/>
      <c r="E76" s="1"/>
      <c r="F76" s="1"/>
      <c r="G76" s="129"/>
      <c r="H76" s="128"/>
      <c r="I76" s="1"/>
      <c r="J76" s="1"/>
      <c r="K76" s="1"/>
      <c r="L76" s="1"/>
      <c r="M76" s="1"/>
      <c r="N76" s="54"/>
      <c r="O76" s="1"/>
      <c r="P76" s="1"/>
      <c r="Q76" s="1"/>
      <c r="R76" s="54"/>
      <c r="S76" s="1"/>
      <c r="T76" s="1"/>
      <c r="U76" s="1"/>
      <c r="V76" s="1"/>
      <c r="W76" s="1"/>
      <c r="X76" s="1"/>
    </row>
    <row r="77" spans="1:24">
      <c r="A77" s="1"/>
      <c r="B77" s="1"/>
      <c r="C77" s="129"/>
      <c r="D77" s="54"/>
      <c r="E77" s="1"/>
      <c r="F77" s="1"/>
      <c r="G77" s="129"/>
      <c r="H77" s="128"/>
      <c r="I77" s="1"/>
      <c r="J77" s="1"/>
      <c r="K77" s="1"/>
      <c r="L77" s="1"/>
      <c r="M77" s="1"/>
      <c r="N77" s="54"/>
      <c r="O77" s="1"/>
      <c r="P77" s="1"/>
      <c r="Q77" s="1"/>
      <c r="R77" s="54"/>
      <c r="S77" s="1"/>
      <c r="T77" s="1"/>
      <c r="U77" s="1"/>
      <c r="V77" s="1"/>
      <c r="W77" s="1"/>
      <c r="X77" s="1"/>
    </row>
    <row r="78" spans="1:24">
      <c r="A78" s="1"/>
      <c r="B78" s="1"/>
      <c r="C78" s="129"/>
      <c r="D78" s="54"/>
      <c r="E78" s="1"/>
      <c r="F78" s="1"/>
      <c r="G78" s="129"/>
      <c r="H78" s="128"/>
      <c r="I78" s="1"/>
      <c r="J78" s="1"/>
      <c r="K78" s="1"/>
      <c r="L78" s="1"/>
      <c r="M78" s="1"/>
      <c r="N78" s="54"/>
      <c r="O78" s="1"/>
      <c r="P78" s="1"/>
      <c r="Q78" s="1"/>
      <c r="R78" s="54"/>
      <c r="S78" s="1"/>
      <c r="T78" s="1"/>
      <c r="U78" s="1"/>
      <c r="V78" s="1"/>
      <c r="W78" s="1"/>
      <c r="X78" s="1"/>
    </row>
    <row r="79" spans="1:24">
      <c r="A79" s="1"/>
      <c r="B79" s="1"/>
      <c r="C79" s="129"/>
      <c r="D79" s="54"/>
      <c r="E79" s="1"/>
      <c r="F79" s="1"/>
      <c r="G79" s="129"/>
      <c r="H79" s="128"/>
      <c r="I79" s="1"/>
      <c r="J79" s="1"/>
      <c r="K79" s="1"/>
      <c r="L79" s="1"/>
      <c r="M79" s="1"/>
      <c r="N79" s="54"/>
      <c r="O79" s="1"/>
      <c r="P79" s="1"/>
      <c r="Q79" s="1"/>
      <c r="R79" s="54"/>
      <c r="S79" s="1"/>
      <c r="T79" s="1"/>
      <c r="U79" s="1"/>
      <c r="V79" s="1"/>
      <c r="W79" s="1"/>
      <c r="X79" s="1"/>
    </row>
    <row r="80" spans="1:24">
      <c r="A80" s="1"/>
      <c r="B80" s="1"/>
      <c r="C80" s="129"/>
      <c r="D80" s="54"/>
      <c r="E80" s="1"/>
      <c r="F80" s="1"/>
      <c r="G80" s="129"/>
      <c r="H80" s="128"/>
      <c r="I80" s="1"/>
      <c r="J80" s="1"/>
      <c r="K80" s="1"/>
      <c r="L80" s="1"/>
      <c r="M80" s="1"/>
      <c r="N80" s="54"/>
      <c r="O80" s="1"/>
      <c r="P80" s="1"/>
      <c r="Q80" s="1"/>
      <c r="R80" s="54"/>
      <c r="S80" s="1"/>
      <c r="T80" s="1"/>
      <c r="U80" s="1"/>
      <c r="V80" s="1"/>
      <c r="W80" s="1"/>
      <c r="X80" s="1"/>
    </row>
    <row r="81" spans="1:24">
      <c r="A81" s="1"/>
      <c r="B81" s="1"/>
      <c r="C81" s="129"/>
      <c r="D81" s="54"/>
      <c r="E81" s="1"/>
      <c r="F81" s="1"/>
      <c r="G81" s="129"/>
      <c r="H81" s="128"/>
      <c r="I81" s="1"/>
      <c r="J81" s="1"/>
      <c r="K81" s="1"/>
      <c r="L81" s="1"/>
      <c r="M81" s="1"/>
      <c r="N81" s="54"/>
      <c r="O81" s="1"/>
      <c r="P81" s="1"/>
      <c r="Q81" s="1"/>
      <c r="R81" s="54"/>
      <c r="S81" s="1"/>
      <c r="T81" s="1"/>
      <c r="U81" s="1"/>
      <c r="V81" s="1"/>
      <c r="W81" s="1"/>
      <c r="X81" s="1"/>
    </row>
    <row r="82" spans="1:24">
      <c r="A82" s="1"/>
      <c r="B82" s="1"/>
      <c r="C82" s="129"/>
      <c r="D82" s="54"/>
      <c r="E82" s="1"/>
      <c r="F82" s="1"/>
      <c r="G82" s="129"/>
      <c r="H82" s="128"/>
      <c r="I82" s="1"/>
      <c r="J82" s="1"/>
      <c r="K82" s="1"/>
      <c r="L82" s="1"/>
      <c r="M82" s="1"/>
      <c r="N82" s="54"/>
      <c r="O82" s="1"/>
      <c r="P82" s="1"/>
      <c r="Q82" s="1"/>
      <c r="R82" s="54"/>
      <c r="S82" s="1"/>
      <c r="T82" s="1"/>
      <c r="U82" s="1"/>
      <c r="V82" s="1"/>
      <c r="W82" s="1"/>
      <c r="X82" s="1"/>
    </row>
    <row r="83" spans="1:24">
      <c r="A83" s="1"/>
      <c r="B83" s="1"/>
      <c r="C83" s="129"/>
      <c r="D83" s="54"/>
      <c r="E83" s="1"/>
      <c r="F83" s="1"/>
      <c r="G83" s="129"/>
      <c r="H83" s="128"/>
      <c r="I83" s="1"/>
      <c r="J83" s="1"/>
      <c r="K83" s="1"/>
      <c r="L83" s="1"/>
      <c r="M83" s="1"/>
      <c r="N83" s="54"/>
      <c r="O83" s="1"/>
      <c r="P83" s="1"/>
      <c r="Q83" s="1"/>
      <c r="R83" s="54"/>
      <c r="S83" s="1"/>
      <c r="T83" s="1"/>
      <c r="U83" s="1"/>
      <c r="V83" s="1"/>
      <c r="W83" s="1"/>
      <c r="X83" s="1"/>
    </row>
    <row r="84" spans="1:24">
      <c r="A84" s="1"/>
      <c r="B84" s="1"/>
      <c r="C84" s="129"/>
      <c r="D84" s="54"/>
      <c r="E84" s="1"/>
      <c r="F84" s="1"/>
      <c r="G84" s="129"/>
      <c r="H84" s="128"/>
      <c r="I84" s="1"/>
      <c r="J84" s="1"/>
      <c r="K84" s="1"/>
      <c r="L84" s="1"/>
      <c r="M84" s="1"/>
      <c r="N84" s="54"/>
      <c r="O84" s="1"/>
      <c r="P84" s="1"/>
      <c r="Q84" s="1"/>
      <c r="R84" s="54"/>
      <c r="S84" s="1"/>
      <c r="T84" s="1"/>
      <c r="U84" s="1"/>
      <c r="V84" s="1"/>
      <c r="W84" s="1"/>
      <c r="X84" s="1"/>
    </row>
    <row r="85" spans="1:24" ht="15.75">
      <c r="A85" s="1"/>
      <c r="B85" s="1"/>
      <c r="C85" s="1"/>
      <c r="D85" s="1"/>
      <c r="E85" s="1"/>
      <c r="F85" s="1"/>
      <c r="G85" s="129"/>
      <c r="H85" s="95"/>
      <c r="I85" s="1"/>
      <c r="J85" s="1"/>
      <c r="K85" s="1"/>
      <c r="L85" s="1"/>
      <c r="M85" s="1"/>
      <c r="N85" s="54"/>
      <c r="O85" s="1"/>
      <c r="P85" s="1"/>
      <c r="Q85" s="1"/>
      <c r="R85" s="54"/>
      <c r="S85" s="1"/>
      <c r="T85" s="1"/>
      <c r="U85" s="1"/>
      <c r="V85" s="1"/>
      <c r="W85" s="1"/>
      <c r="X85" s="1"/>
    </row>
    <row r="86" spans="1:24">
      <c r="A86" s="1"/>
      <c r="B86" s="1"/>
      <c r="C86" s="1"/>
      <c r="D86" s="1"/>
      <c r="E86" s="1"/>
      <c r="F86" s="1"/>
      <c r="G86" s="129"/>
      <c r="H86" s="1"/>
      <c r="I86" s="1"/>
      <c r="J86" s="1"/>
      <c r="K86" s="1"/>
      <c r="L86" s="1"/>
      <c r="M86" s="1"/>
      <c r="N86" s="54"/>
      <c r="O86" s="1"/>
      <c r="P86" s="1"/>
      <c r="Q86" s="1"/>
      <c r="R86" s="54"/>
      <c r="S86" s="1"/>
      <c r="T86" s="1"/>
      <c r="U86" s="1"/>
      <c r="V86" s="1"/>
      <c r="W86" s="1"/>
      <c r="X86" s="1"/>
    </row>
    <row r="87" spans="1:24">
      <c r="A87" s="1"/>
      <c r="B87" s="54"/>
      <c r="C87" s="1"/>
      <c r="D87" s="54"/>
      <c r="E87" s="1"/>
      <c r="F87" s="54"/>
      <c r="G87" s="129"/>
      <c r="H87" s="54"/>
      <c r="I87" s="1"/>
      <c r="J87" s="1"/>
      <c r="K87" s="1"/>
      <c r="L87" s="54"/>
      <c r="M87" s="1"/>
      <c r="N87" s="54"/>
      <c r="O87" s="1"/>
      <c r="P87" s="54"/>
      <c r="Q87" s="1"/>
      <c r="R87" s="54"/>
      <c r="S87" s="1"/>
      <c r="T87" s="1"/>
      <c r="U87" s="1"/>
      <c r="V87" s="1"/>
      <c r="W87" s="1"/>
      <c r="X87" s="1"/>
    </row>
    <row r="88" spans="1:24">
      <c r="A88" s="1"/>
      <c r="B88" s="1"/>
      <c r="C88" s="1"/>
      <c r="D88" s="1"/>
      <c r="E88" s="1"/>
      <c r="F88" s="1"/>
      <c r="G88" s="129"/>
      <c r="H88" s="1"/>
      <c r="I88" s="1"/>
      <c r="J88" s="1"/>
      <c r="K88" s="1"/>
      <c r="L88" s="1"/>
      <c r="M88" s="1"/>
      <c r="N88" s="54"/>
      <c r="O88" s="1"/>
      <c r="P88" s="1"/>
      <c r="Q88" s="1"/>
      <c r="R88" s="54"/>
      <c r="S88" s="1"/>
      <c r="T88" s="1"/>
      <c r="U88" s="1"/>
      <c r="V88" s="1"/>
      <c r="W88" s="1"/>
      <c r="X88" s="1"/>
    </row>
    <row r="89" spans="1:24">
      <c r="A89" s="1"/>
      <c r="B89" s="1"/>
      <c r="C89" s="1"/>
      <c r="D89" s="54"/>
      <c r="E89" s="1"/>
      <c r="F89" s="1"/>
      <c r="G89" s="1"/>
      <c r="H89" s="96"/>
      <c r="I89" s="1"/>
      <c r="J89" s="1"/>
      <c r="K89" s="1"/>
      <c r="L89" s="1"/>
      <c r="M89" s="1"/>
      <c r="N89" s="54"/>
      <c r="O89" s="1"/>
      <c r="P89" s="1"/>
      <c r="Q89" s="1"/>
      <c r="R89" s="54"/>
      <c r="S89" s="1"/>
      <c r="T89" s="1"/>
      <c r="U89" s="1"/>
      <c r="V89" s="1"/>
      <c r="W89" s="1"/>
      <c r="X89" s="1"/>
    </row>
    <row r="90" spans="1:2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54"/>
      <c r="O90" s="1"/>
      <c r="P90" s="1"/>
      <c r="Q90" s="1"/>
      <c r="R90" s="54"/>
      <c r="S90" s="1"/>
      <c r="T90" s="1"/>
      <c r="U90" s="1"/>
      <c r="V90" s="1"/>
      <c r="W90" s="1"/>
      <c r="X90" s="1"/>
    </row>
    <row r="91" spans="1:24">
      <c r="A91" s="86"/>
      <c r="B91" s="1"/>
      <c r="C91" s="1"/>
      <c r="D91" s="54"/>
      <c r="E91" s="1"/>
      <c r="F91" s="1"/>
      <c r="G91" s="1"/>
      <c r="H91" s="54"/>
      <c r="I91" s="1"/>
      <c r="J91" s="1"/>
      <c r="K91" s="86"/>
      <c r="L91" s="1"/>
      <c r="M91" s="1"/>
      <c r="N91" s="54"/>
      <c r="O91" s="1"/>
      <c r="P91" s="1"/>
      <c r="Q91" s="1"/>
      <c r="R91" s="54"/>
      <c r="S91" s="1"/>
      <c r="T91" s="1"/>
      <c r="U91" s="1"/>
      <c r="V91" s="1"/>
      <c r="W91" s="1"/>
      <c r="X91" s="1"/>
    </row>
    <row r="92" spans="1:2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54"/>
      <c r="O92" s="1"/>
      <c r="P92" s="1"/>
      <c r="Q92" s="1"/>
      <c r="R92" s="54"/>
      <c r="S92" s="1"/>
      <c r="T92" s="1"/>
      <c r="U92" s="1"/>
      <c r="V92" s="1"/>
      <c r="W92" s="1"/>
      <c r="X92" s="1"/>
    </row>
    <row r="93" spans="1:2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54"/>
      <c r="O93" s="1"/>
      <c r="P93" s="1"/>
      <c r="Q93" s="1"/>
      <c r="R93" s="54"/>
      <c r="S93" s="1"/>
      <c r="T93" s="1"/>
      <c r="U93" s="1"/>
      <c r="V93" s="1"/>
      <c r="W93" s="1"/>
      <c r="X93" s="1"/>
    </row>
    <row r="94" spans="1:2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86"/>
      <c r="N95" s="54"/>
      <c r="O95" s="1"/>
      <c r="P95" s="1"/>
      <c r="Q95" s="1"/>
      <c r="R95" s="54"/>
      <c r="S95" s="1"/>
      <c r="T95" s="1"/>
      <c r="U95" s="1"/>
      <c r="V95" s="1"/>
      <c r="W95" s="1"/>
      <c r="X95" s="1"/>
    </row>
    <row r="96" spans="1:2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86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86"/>
      <c r="N97" s="98"/>
      <c r="O97" s="1"/>
      <c r="P97" s="1"/>
      <c r="Q97" s="1"/>
      <c r="R97" s="54"/>
      <c r="S97" s="1"/>
      <c r="T97" s="1"/>
      <c r="U97" s="1"/>
      <c r="V97" s="1"/>
      <c r="W97" s="1"/>
      <c r="X97" s="1"/>
    </row>
    <row r="98" spans="1:2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86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86"/>
      <c r="N99" s="54"/>
      <c r="O99" s="1"/>
      <c r="P99" s="1"/>
      <c r="Q99" s="1"/>
      <c r="R99" s="54"/>
      <c r="S99" s="1"/>
      <c r="T99" s="1"/>
      <c r="U99" s="1"/>
      <c r="V99" s="1"/>
      <c r="W99" s="1"/>
      <c r="X99" s="1"/>
    </row>
    <row r="100" spans="1:2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86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86"/>
      <c r="N101" s="99"/>
      <c r="O101" s="1"/>
      <c r="P101" s="1"/>
      <c r="Q101" s="1"/>
      <c r="R101" s="54"/>
      <c r="S101" s="1"/>
      <c r="T101" s="1"/>
      <c r="U101" s="1"/>
      <c r="V101" s="1"/>
      <c r="W101" s="1"/>
      <c r="X101" s="1"/>
    </row>
    <row r="102" spans="1:2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>
      <c r="A103" s="110"/>
      <c r="B103" s="110"/>
      <c r="C103" s="110"/>
      <c r="D103" s="110"/>
      <c r="E103" s="110"/>
      <c r="F103" s="110"/>
      <c r="G103" s="110"/>
      <c r="H103" s="110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>
      <c r="A104" s="110"/>
      <c r="B104" s="110"/>
      <c r="C104" s="110"/>
      <c r="D104" s="110"/>
      <c r="E104" s="110"/>
      <c r="F104" s="110"/>
      <c r="G104" s="110"/>
      <c r="H104" s="110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>
      <c r="A105" s="1" t="s">
        <v>65</v>
      </c>
      <c r="B105" s="1" t="s">
        <v>66</v>
      </c>
      <c r="C105" s="1" t="s">
        <v>67</v>
      </c>
      <c r="D105" s="1" t="s">
        <v>68</v>
      </c>
      <c r="E105" s="1" t="s">
        <v>69</v>
      </c>
      <c r="F105" s="1" t="s">
        <v>70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>
      <c r="A106" s="71">
        <v>1.3135069444444444E-3</v>
      </c>
      <c r="B106" s="71">
        <v>1.3203009259259259E-3</v>
      </c>
      <c r="C106" s="71">
        <v>1.3206944444444444E-3</v>
      </c>
      <c r="D106" s="71">
        <v>1.3216087962962962E-3</v>
      </c>
      <c r="E106" s="71">
        <v>1.323136574074074E-3</v>
      </c>
      <c r="F106" s="71">
        <v>1.3299768518518517E-3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</sheetData>
  <mergeCells count="43">
    <mergeCell ref="A4:B4"/>
    <mergeCell ref="C4:D4"/>
    <mergeCell ref="E4:F4"/>
    <mergeCell ref="G4:H4"/>
    <mergeCell ref="A2:H2"/>
    <mergeCell ref="A3:B3"/>
    <mergeCell ref="C3:D3"/>
    <mergeCell ref="E3:F3"/>
    <mergeCell ref="G3:H3"/>
    <mergeCell ref="K68:L68"/>
    <mergeCell ref="M68:N68"/>
    <mergeCell ref="O68:P68"/>
    <mergeCell ref="Q68:R68"/>
    <mergeCell ref="K67:R67"/>
    <mergeCell ref="A35:H35"/>
    <mergeCell ref="A37:B37"/>
    <mergeCell ref="G37:H37"/>
    <mergeCell ref="C37:D37"/>
    <mergeCell ref="E37:F37"/>
    <mergeCell ref="G36:H36"/>
    <mergeCell ref="A36:B36"/>
    <mergeCell ref="C36:D36"/>
    <mergeCell ref="E36:F36"/>
    <mergeCell ref="K2:L2"/>
    <mergeCell ref="Q2:R2"/>
    <mergeCell ref="M2:N2"/>
    <mergeCell ref="O2:P2"/>
    <mergeCell ref="K1:R1"/>
    <mergeCell ref="K35:R35"/>
    <mergeCell ref="K37:L37"/>
    <mergeCell ref="Q37:R37"/>
    <mergeCell ref="O37:P37"/>
    <mergeCell ref="M37:N37"/>
    <mergeCell ref="K36:L36"/>
    <mergeCell ref="M36:N36"/>
    <mergeCell ref="O36:P36"/>
    <mergeCell ref="Q36:R36"/>
    <mergeCell ref="A103:H104"/>
    <mergeCell ref="A67:H67"/>
    <mergeCell ref="A68:B68"/>
    <mergeCell ref="C68:D68"/>
    <mergeCell ref="E68:F68"/>
    <mergeCell ref="G68:H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Iraldi, Agustin</dc:creator>
  <cp:keywords/>
  <dc:description/>
  <cp:lastModifiedBy/>
  <cp:revision/>
  <dcterms:created xsi:type="dcterms:W3CDTF">2026-06-12T14:19:34Z</dcterms:created>
  <dcterms:modified xsi:type="dcterms:W3CDTF">2026-09-09T04:49:53Z</dcterms:modified>
  <cp:category/>
  <cp:contentStatus/>
</cp:coreProperties>
</file>